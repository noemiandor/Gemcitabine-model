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70246/Projects/PMO/HighPloidy_DoubleEdgedSword/discussion/Gemcitabine_ploidy/"/>
    </mc:Choice>
  </mc:AlternateContent>
  <xr:revisionPtr revIDLastSave="0" documentId="13_ncr:1_{74FE0961-ECE3-C548-BEE4-5F12657C5D40}" xr6:coauthVersionLast="47" xr6:coauthVersionMax="47" xr10:uidLastSave="{00000000-0000-0000-0000-000000000000}"/>
  <bookViews>
    <workbookView xWindow="0" yWindow="760" windowWidth="34560" windowHeight="21580" activeTab="4" xr2:uid="{9064EFF1-4337-4E72-8689-22737799E61D}"/>
  </bookViews>
  <sheets>
    <sheet name="batch1" sheetId="1" r:id="rId1"/>
    <sheet name="batch2" sheetId="2" r:id="rId2"/>
    <sheet name="4R" sheetId="3" r:id="rId3"/>
    <sheet name="postQC_2N" sheetId="4" r:id="rId4"/>
    <sheet name="postQC_4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<sst xmlns="http://schemas.openxmlformats.org/spreadsheetml/2006/main" count="330" uniqueCount="101">
  <si>
    <t>CICPT Project</t>
  </si>
  <si>
    <t>CICPT-4990</t>
  </si>
  <si>
    <t>Project Title</t>
  </si>
  <si>
    <t>10X Aneuploidy-Cost and benefits of polyploidy in cancers</t>
  </si>
  <si>
    <t>Investigators</t>
  </si>
  <si>
    <t>Andor/Tagal</t>
  </si>
  <si>
    <t>Number of Samples</t>
  </si>
  <si>
    <t>Kit used</t>
  </si>
  <si>
    <t>Single Cell 3' v4</t>
  </si>
  <si>
    <t>Pipeline</t>
  </si>
  <si>
    <t>CellRanger/8.0.0</t>
  </si>
  <si>
    <t>Species</t>
  </si>
  <si>
    <t>Reference</t>
  </si>
  <si>
    <t>Sequencing information</t>
  </si>
  <si>
    <t>NovaSeq-S2-100, 28x90 bp</t>
  </si>
  <si>
    <t>Date</t>
  </si>
  <si>
    <t>No.</t>
  </si>
  <si>
    <t>Samples Names</t>
  </si>
  <si>
    <t>Estimated Number of Cells</t>
  </si>
  <si>
    <t>Mean Reads per Cell</t>
  </si>
  <si>
    <t>Median Genes per Cell</t>
  </si>
  <si>
    <t>Number of Reads</t>
  </si>
  <si>
    <t>Valid Barcodes</t>
  </si>
  <si>
    <t>Sequencing Saturation</t>
  </si>
  <si>
    <t>Q30 Bases in Barcode</t>
  </si>
  <si>
    <t>Q30 Bases in RNA Read</t>
  </si>
  <si>
    <t>Q30 Bases in UMI</t>
  </si>
  <si>
    <t>Reads Mapped to Genome</t>
  </si>
  <si>
    <t>Reads Mapped Confidently to Genome</t>
  </si>
  <si>
    <t>Reads Mapped Confidently to Intergenic Regions</t>
  </si>
  <si>
    <t>Reads Mapped Confidently to Intronic Regions</t>
  </si>
  <si>
    <t>Reads Mapped Confidently to Exonic Regions</t>
  </si>
  <si>
    <t>Reads Mapped Confidently to Transcriptome</t>
  </si>
  <si>
    <t>Reads Mapped Antisense to Gene</t>
  </si>
  <si>
    <t>Fraction Reads in Cells</t>
  </si>
  <si>
    <t>Total Genes Detected</t>
  </si>
  <si>
    <t>Median UMI Counts per Cell</t>
  </si>
  <si>
    <t>2N-A1-R</t>
  </si>
  <si>
    <t>2N-A1-RR</t>
  </si>
  <si>
    <t>2N-A1-LR</t>
  </si>
  <si>
    <t>2N-A1-0</t>
  </si>
  <si>
    <t>2N-A2-0</t>
  </si>
  <si>
    <t>2N-A2-L</t>
  </si>
  <si>
    <t>2N-A4-R</t>
  </si>
  <si>
    <t>2N-A4-RL</t>
  </si>
  <si>
    <t>refdata-gex-GRCh38_and_GRCm39-2024-A</t>
  </si>
  <si>
    <t>GRCh38 Reads Mapped to Genome</t>
  </si>
  <si>
    <t>GRCm39 Reads Mapped to Genome</t>
  </si>
  <si>
    <t>GRCh38 Reads Mapped Confidently to Genome</t>
  </si>
  <si>
    <t>GRCm39 Reads Mapped Confidently to Genome</t>
  </si>
  <si>
    <t>GRCh38 Reads Mapped Confidently to Intergenic Regions</t>
  </si>
  <si>
    <t>GRCm39 Reads Mapped Confidently to Intergenic Regions</t>
  </si>
  <si>
    <t>GRCh38 Reads Mapped Confidently to Intronic Regions</t>
  </si>
  <si>
    <t>GRCm39 Reads Mapped Confidently to Intronic Regions</t>
  </si>
  <si>
    <t>GRCh38 Reads Mapped Confidently to Exonic Regions</t>
  </si>
  <si>
    <t>GRCm39 Reads Mapped Confidently to Exonic Regions</t>
  </si>
  <si>
    <t>GRCh38 Reads Mapped Confidently to Transcriptome</t>
  </si>
  <si>
    <t>GRCm39 Reads Mapped Confidently to Transcriptome</t>
  </si>
  <si>
    <t>GRCh38 Estimated Number of Cell Partitions</t>
  </si>
  <si>
    <t>GRCm39 Estimated Number of Cell Partitions</t>
  </si>
  <si>
    <t>GRCh38 Fraction Reads in Cells</t>
  </si>
  <si>
    <t>GRCm39 Fraction Reads in Cells</t>
  </si>
  <si>
    <t>GRCh38 Median Genes per Cell</t>
  </si>
  <si>
    <t>GRCm39 Median Genes per Cell</t>
  </si>
  <si>
    <t>GRCh38 Total Genes Detected</t>
  </si>
  <si>
    <t>GRCm39 Total Genes Detected</t>
  </si>
  <si>
    <t>GRCh38 Median UMI Counts per Cell</t>
  </si>
  <si>
    <t>GRCm39 Median UMI Counts per Cell</t>
  </si>
  <si>
    <t>GEMs with &gt;0 Cells</t>
  </si>
  <si>
    <t>GEMs with &gt;1 Cell</t>
  </si>
  <si>
    <t>Fraction GEMs with &gt;1 Cell</t>
  </si>
  <si>
    <t>2N-A1-R-HM</t>
  </si>
  <si>
    <t>2N-A1-RR-HM</t>
  </si>
  <si>
    <t>2N-A1-LR-HM</t>
  </si>
  <si>
    <t>2N-A1-0-HM</t>
  </si>
  <si>
    <t>2N-A2-0-HM</t>
  </si>
  <si>
    <t>2N-A2-L-HM</t>
  </si>
  <si>
    <t>2N-A4-R-HM</t>
  </si>
  <si>
    <t>2N-A4-RL-HM</t>
  </si>
  <si>
    <t>refdata-gex-GRCh38-2024-A</t>
  </si>
  <si>
    <t>Human</t>
  </si>
  <si>
    <t>Human and Mouse</t>
  </si>
  <si>
    <t>Batch</t>
  </si>
  <si>
    <t>02</t>
  </si>
  <si>
    <t>NovaSeq-S2-100, SP-100</t>
  </si>
  <si>
    <t>Sample</t>
  </si>
  <si>
    <t>A5-4N-L</t>
  </si>
  <si>
    <t>A5-4N-R</t>
  </si>
  <si>
    <t>A6-4N-O</t>
  </si>
  <si>
    <t>A6-4N-RR</t>
  </si>
  <si>
    <t>4N-A8-RR</t>
  </si>
  <si>
    <t>4N-A8-RL</t>
  </si>
  <si>
    <t>4N-A5-RR-M</t>
  </si>
  <si>
    <t>4N-A5-RR</t>
  </si>
  <si>
    <t>4N-A5-0</t>
  </si>
  <si>
    <t>4N-A5-0-M</t>
  </si>
  <si>
    <t>2N-Cell-Culture</t>
  </si>
  <si>
    <t>4N-Cell-Culture</t>
  </si>
  <si>
    <t>sample_name</t>
  </si>
  <si>
    <t>raw_cell_count</t>
  </si>
  <si>
    <t>filter_cell_number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</si>
</sst>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/>
    </xf>
    <xf numFmtId="3" fontId="0" fillId="0" borderId="1" xfId="0" applyNumberFormat="1" applyBorder="1"/>
    <xf numFmtId="10" fontId="0" fillId="0" borderId="1" xfId="0" applyNumberFormat="1" applyBorder="1"/>
    <xf numFmtId="10" fontId="0" fillId="2" borderId="1" xfId="0" applyNumberFormat="1" applyFill="1" applyBorder="1"/>
    <xf numFmtId="10" fontId="0" fillId="2" borderId="1" xfId="1" applyNumberFormat="1" applyFont="1" applyFill="1" applyBorder="1" applyAlignment="1">
      <alignment wrapText="1"/>
    </xf>
    <xf numFmtId="3" fontId="0" fillId="0" borderId="0" xfId="0" applyNumberFormat="1"/>
    <xf numFmtId="10" fontId="0" fillId="0" borderId="0" xfId="0" applyNumberFormat="1"/>
    <xf numFmtId="0" fontId="0" fillId="3" borderId="1" xfId="0" applyFill="1" applyBorder="1" applyAlignment="1">
      <alignment wrapText="1"/>
    </xf>
    <xf numFmtId="0" fontId="0" fillId="3" borderId="1" xfId="0" applyFill="1" applyBorder="1"/>
    <xf numFmtId="3" fontId="0" fillId="3" borderId="1" xfId="0" applyNumberFormat="1" applyFill="1" applyBorder="1"/>
    <xf numFmtId="10" fontId="0" fillId="0" borderId="1" xfId="1" applyNumberFormat="1" applyFont="1" applyBorder="1"/>
    <xf numFmtId="0" fontId="0" fillId="4" borderId="1" xfId="0" applyFill="1" applyBorder="1" applyAlignment="1">
      <alignment wrapText="1"/>
    </xf>
    <xf numFmtId="3" fontId="0" fillId="4" borderId="1" xfId="0" applyNumberFormat="1" applyFill="1" applyBorder="1"/>
    <xf numFmtId="0" fontId="0" fillId="4" borderId="1" xfId="0" applyFill="1" applyBorder="1"/>
    <xf numFmtId="0" fontId="2" fillId="0" borderId="1" xfId="0" applyFont="1" applyBorder="1"/>
    <xf numFmtId="0" fontId="0" fillId="0" borderId="2" xfId="0" applyBorder="1"/>
    <xf numFmtId="3" fontId="0" fillId="0" borderId="2" xfId="0" applyNumberFormat="1" applyBorder="1" applyAlignment="1">
      <alignment horizontal="center"/>
    </xf>
    <xf numFmtId="0" fontId="0" fillId="0" borderId="3" xfId="0" applyBorder="1"/>
    <xf numFmtId="14" fontId="0" fillId="0" borderId="3" xfId="0" applyNumberFormat="1" applyBorder="1" applyAlignment="1">
      <alignment horizontal="center"/>
    </xf>
    <xf numFmtId="3" fontId="0" fillId="4" borderId="0" xfId="0" applyNumberFormat="1" applyFill="1"/>
    <xf numFmtId="3" fontId="0" fillId="2" borderId="1" xfId="0" applyNumberFormat="1" applyFill="1" applyBorder="1"/>
    <xf numFmtId="0" fontId="0" fillId="0" borderId="4" xfId="0" applyBorder="1"/>
    <xf numFmtId="3" fontId="0" fillId="2" borderId="0" xfId="0" applyNumberFormat="1" applyFill="1"/>
    <xf numFmtId="10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6DA7-5494-4866-BDEB-AF8606CB61B5}">
  <dimension ref="A1:AQ53"/>
  <sheetViews>
    <sheetView zoomScale="148" zoomScaleNormal="148" workbookViewId="0">
      <pane xSplit="3" ySplit="11" topLeftCell="AA32" activePane="bottomRight" state="frozen"/>
      <selection pane="topRight" activeCell="D1" sqref="D1"/>
      <selection pane="bottomLeft" activeCell="A12" sqref="A12"/>
      <selection pane="bottomRight" activeCell="A33" sqref="A33:AQ40"/>
    </sheetView>
  </sheetViews>
  <sheetFormatPr baseColWidth="10" defaultColWidth="8.83203125" defaultRowHeight="15" x14ac:dyDescent="0.2"/>
  <cols>
    <col min="1" max="1" width="7.5" customWidth="1"/>
    <col min="2" max="2" width="20.83203125" customWidth="1"/>
    <col min="5" max="5" width="13.6640625" customWidth="1"/>
    <col min="6" max="6" width="12.6640625" hidden="1" customWidth="1"/>
    <col min="7" max="7" width="12.33203125" hidden="1" customWidth="1"/>
    <col min="8" max="11" width="0" hidden="1" customWidth="1"/>
    <col min="12" max="12" width="9.1640625" style="3"/>
    <col min="21" max="21" width="15.5" customWidth="1"/>
    <col min="23" max="23" width="12.5" customWidth="1"/>
  </cols>
  <sheetData>
    <row r="1" spans="1:21" x14ac:dyDescent="0.2">
      <c r="A1" s="1" t="s">
        <v>0</v>
      </c>
      <c r="B1" s="2" t="s">
        <v>1</v>
      </c>
      <c r="L1"/>
    </row>
    <row r="2" spans="1:21" x14ac:dyDescent="0.2">
      <c r="A2" s="1" t="s">
        <v>2</v>
      </c>
      <c r="B2" s="2" t="s">
        <v>3</v>
      </c>
      <c r="C2" s="2"/>
      <c r="D2" s="2"/>
      <c r="E2" s="2"/>
      <c r="F2" s="2"/>
      <c r="L2"/>
    </row>
    <row r="3" spans="1:21" x14ac:dyDescent="0.2">
      <c r="A3" s="1" t="s">
        <v>4</v>
      </c>
      <c r="B3" s="2" t="s">
        <v>5</v>
      </c>
      <c r="L3"/>
    </row>
    <row r="4" spans="1:21" x14ac:dyDescent="0.2">
      <c r="A4" s="1" t="s">
        <v>6</v>
      </c>
      <c r="B4" s="4">
        <v>8</v>
      </c>
      <c r="L4"/>
    </row>
    <row r="5" spans="1:21" x14ac:dyDescent="0.2">
      <c r="A5" s="1" t="s">
        <v>7</v>
      </c>
      <c r="B5" s="2" t="s">
        <v>8</v>
      </c>
      <c r="L5"/>
    </row>
    <row r="6" spans="1:21" x14ac:dyDescent="0.2">
      <c r="A6" s="1" t="s">
        <v>9</v>
      </c>
      <c r="B6" s="2" t="s">
        <v>10</v>
      </c>
      <c r="L6"/>
    </row>
    <row r="7" spans="1:21" x14ac:dyDescent="0.2">
      <c r="A7" s="1" t="s">
        <v>11</v>
      </c>
      <c r="B7" s="2" t="s">
        <v>80</v>
      </c>
      <c r="L7"/>
    </row>
    <row r="8" spans="1:21" x14ac:dyDescent="0.2">
      <c r="A8" s="1" t="s">
        <v>12</v>
      </c>
      <c r="B8" s="2" t="s">
        <v>79</v>
      </c>
      <c r="L8"/>
    </row>
    <row r="9" spans="1:21" x14ac:dyDescent="0.2">
      <c r="A9" s="1" t="s">
        <v>13</v>
      </c>
      <c r="B9" s="2" t="s">
        <v>14</v>
      </c>
      <c r="L9"/>
    </row>
    <row r="10" spans="1:21" x14ac:dyDescent="0.2">
      <c r="A10" s="1" t="s">
        <v>15</v>
      </c>
      <c r="B10" s="5">
        <v>45602</v>
      </c>
      <c r="L10"/>
    </row>
    <row r="11" spans="1:21" s="9" customFormat="1" ht="96" x14ac:dyDescent="0.2">
      <c r="A11" s="6" t="s">
        <v>16</v>
      </c>
      <c r="B11" s="7" t="s">
        <v>17</v>
      </c>
      <c r="C11" s="6" t="s">
        <v>18</v>
      </c>
      <c r="D11" s="6" t="s">
        <v>19</v>
      </c>
      <c r="E11" s="21" t="s">
        <v>20</v>
      </c>
      <c r="F11" s="6" t="s">
        <v>21</v>
      </c>
      <c r="G11" s="6" t="s">
        <v>22</v>
      </c>
      <c r="H11" s="6" t="s">
        <v>23</v>
      </c>
      <c r="I11" s="6" t="s">
        <v>24</v>
      </c>
      <c r="J11" s="6" t="s">
        <v>25</v>
      </c>
      <c r="K11" s="6" t="s">
        <v>26</v>
      </c>
      <c r="L11" s="8" t="s">
        <v>27</v>
      </c>
      <c r="M11" s="6" t="s">
        <v>28</v>
      </c>
      <c r="N11" s="6" t="s">
        <v>29</v>
      </c>
      <c r="O11" s="6" t="s">
        <v>30</v>
      </c>
      <c r="P11" s="8" t="s">
        <v>31</v>
      </c>
      <c r="Q11" s="6" t="s">
        <v>32</v>
      </c>
      <c r="R11" s="6" t="s">
        <v>33</v>
      </c>
      <c r="S11" s="6" t="s">
        <v>34</v>
      </c>
      <c r="T11" s="6" t="s">
        <v>35</v>
      </c>
      <c r="U11" s="6" t="s">
        <v>36</v>
      </c>
    </row>
    <row r="12" spans="1:21" ht="16" x14ac:dyDescent="0.2">
      <c r="A12" s="1">
        <v>1</v>
      </c>
      <c r="B12" s="10" t="s">
        <v>37</v>
      </c>
      <c r="C12" s="11">
        <v>7026</v>
      </c>
      <c r="D12" s="11">
        <v>32003</v>
      </c>
      <c r="E12" s="22">
        <v>717</v>
      </c>
      <c r="F12" s="11">
        <v>224853971</v>
      </c>
      <c r="G12" s="12">
        <v>0.95199999999999996</v>
      </c>
      <c r="H12" s="12">
        <v>0.309</v>
      </c>
      <c r="I12" s="12">
        <v>0.94599999999999995</v>
      </c>
      <c r="J12" s="12">
        <v>0.92800000000000005</v>
      </c>
      <c r="K12" s="12">
        <v>0.94499999999999995</v>
      </c>
      <c r="L12" s="13">
        <v>0.497</v>
      </c>
      <c r="M12" s="12">
        <v>0.25900000000000001</v>
      </c>
      <c r="N12" s="12">
        <v>4.4999999999999998E-2</v>
      </c>
      <c r="O12" s="12">
        <v>0.03</v>
      </c>
      <c r="P12" s="13">
        <v>0.183</v>
      </c>
      <c r="Q12" s="12">
        <v>0.20200000000000001</v>
      </c>
      <c r="R12" s="12">
        <v>0.01</v>
      </c>
      <c r="S12" s="12">
        <v>0.77600000000000002</v>
      </c>
      <c r="T12" s="11">
        <v>26050</v>
      </c>
      <c r="U12" s="11">
        <v>1396</v>
      </c>
    </row>
    <row r="13" spans="1:21" ht="16" x14ac:dyDescent="0.2">
      <c r="A13" s="1">
        <v>2</v>
      </c>
      <c r="B13" s="10" t="s">
        <v>38</v>
      </c>
      <c r="C13" s="11">
        <v>8028</v>
      </c>
      <c r="D13" s="11">
        <v>33369</v>
      </c>
      <c r="E13" s="23">
        <v>719</v>
      </c>
      <c r="F13" s="11">
        <v>267889898</v>
      </c>
      <c r="G13" s="12">
        <v>0.93799999999999994</v>
      </c>
      <c r="H13" s="12">
        <v>0.22500000000000001</v>
      </c>
      <c r="I13" s="12">
        <v>0.94699999999999995</v>
      </c>
      <c r="J13" s="12">
        <v>0.92600000000000005</v>
      </c>
      <c r="K13" s="12">
        <v>0.94499999999999995</v>
      </c>
      <c r="L13" s="13">
        <v>0.77500000000000002</v>
      </c>
      <c r="M13" s="12">
        <v>0.53100000000000003</v>
      </c>
      <c r="N13" s="12">
        <v>8.6999999999999994E-2</v>
      </c>
      <c r="O13" s="12">
        <v>8.5999999999999993E-2</v>
      </c>
      <c r="P13" s="13">
        <v>0.35799999999999998</v>
      </c>
      <c r="Q13" s="12">
        <v>0.42199999999999999</v>
      </c>
      <c r="R13" s="12">
        <v>0.02</v>
      </c>
      <c r="S13" s="12">
        <v>0.67200000000000004</v>
      </c>
      <c r="T13" s="11">
        <v>29982</v>
      </c>
      <c r="U13" s="11">
        <v>1166</v>
      </c>
    </row>
    <row r="14" spans="1:21" ht="16" x14ac:dyDescent="0.2">
      <c r="A14" s="1">
        <v>3</v>
      </c>
      <c r="B14" s="10" t="s">
        <v>39</v>
      </c>
      <c r="C14" s="11">
        <v>7930</v>
      </c>
      <c r="D14" s="11">
        <v>44884</v>
      </c>
      <c r="E14" s="23">
        <v>899</v>
      </c>
      <c r="F14" s="11">
        <v>355927098</v>
      </c>
      <c r="G14" s="12">
        <v>0.94799999999999995</v>
      </c>
      <c r="H14" s="12">
        <v>0.371</v>
      </c>
      <c r="I14" s="12">
        <v>0.94699999999999995</v>
      </c>
      <c r="J14" s="12">
        <v>0.93400000000000005</v>
      </c>
      <c r="K14" s="12">
        <v>0.94599999999999995</v>
      </c>
      <c r="L14" s="13">
        <v>0.56200000000000006</v>
      </c>
      <c r="M14" s="12">
        <v>0.33200000000000002</v>
      </c>
      <c r="N14" s="12">
        <v>6.8000000000000005E-2</v>
      </c>
      <c r="O14" s="12">
        <v>0.04</v>
      </c>
      <c r="P14" s="13">
        <v>0.22500000000000001</v>
      </c>
      <c r="Q14" s="12">
        <v>0.249</v>
      </c>
      <c r="R14" s="12">
        <v>1.4E-2</v>
      </c>
      <c r="S14" s="12">
        <v>0.80500000000000005</v>
      </c>
      <c r="T14" s="11">
        <v>29313</v>
      </c>
      <c r="U14" s="11">
        <v>2016</v>
      </c>
    </row>
    <row r="15" spans="1:21" ht="16" x14ac:dyDescent="0.2">
      <c r="A15" s="1">
        <v>4</v>
      </c>
      <c r="B15" s="10" t="s">
        <v>40</v>
      </c>
      <c r="C15" s="11">
        <v>8134</v>
      </c>
      <c r="D15" s="11">
        <v>47407</v>
      </c>
      <c r="E15" s="23">
        <v>836</v>
      </c>
      <c r="F15" s="11">
        <v>385604583</v>
      </c>
      <c r="G15" s="12">
        <v>0.95</v>
      </c>
      <c r="H15" s="12">
        <v>0.41099999999999998</v>
      </c>
      <c r="I15" s="12">
        <v>0.94799999999999995</v>
      </c>
      <c r="J15" s="12">
        <v>0.93500000000000005</v>
      </c>
      <c r="K15" s="12">
        <v>0.94599999999999995</v>
      </c>
      <c r="L15" s="13">
        <v>0.54300000000000004</v>
      </c>
      <c r="M15" s="12">
        <v>0.315</v>
      </c>
      <c r="N15" s="12">
        <v>5.2999999999999999E-2</v>
      </c>
      <c r="O15" s="12">
        <v>4.2000000000000003E-2</v>
      </c>
      <c r="P15" s="13">
        <v>0.22</v>
      </c>
      <c r="Q15" s="12">
        <v>0.246</v>
      </c>
      <c r="R15" s="12">
        <v>1.4E-2</v>
      </c>
      <c r="S15" s="12">
        <v>0.80300000000000005</v>
      </c>
      <c r="T15" s="11">
        <v>29486</v>
      </c>
      <c r="U15" s="11">
        <v>1768</v>
      </c>
    </row>
    <row r="16" spans="1:21" x14ac:dyDescent="0.2">
      <c r="A16" s="1">
        <v>5</v>
      </c>
      <c r="B16" s="4" t="s">
        <v>41</v>
      </c>
      <c r="C16" s="11">
        <v>8526</v>
      </c>
      <c r="D16" s="11">
        <v>84501</v>
      </c>
      <c r="E16" s="23">
        <v>985</v>
      </c>
      <c r="F16" s="11">
        <v>720459716</v>
      </c>
      <c r="G16" s="12">
        <v>0.93899999999999995</v>
      </c>
      <c r="H16" s="12">
        <v>0.47199999999999998</v>
      </c>
      <c r="I16" s="12">
        <v>0.94599999999999995</v>
      </c>
      <c r="J16" s="12">
        <v>0.93200000000000005</v>
      </c>
      <c r="K16" s="12">
        <v>0.94399999999999995</v>
      </c>
      <c r="L16" s="13">
        <v>0.48899999999999999</v>
      </c>
      <c r="M16" s="12">
        <v>0.28999999999999998</v>
      </c>
      <c r="N16" s="12">
        <v>6.4000000000000001E-2</v>
      </c>
      <c r="O16" s="12">
        <v>3.9E-2</v>
      </c>
      <c r="P16" s="14">
        <v>0.187</v>
      </c>
      <c r="Q16" s="12">
        <v>0.21199999999999999</v>
      </c>
      <c r="R16" s="12">
        <v>1.2E-2</v>
      </c>
      <c r="S16" s="12">
        <v>0.69199999999999995</v>
      </c>
      <c r="T16" s="11">
        <v>30641</v>
      </c>
      <c r="U16" s="11">
        <v>1926</v>
      </c>
    </row>
    <row r="17" spans="1:43" x14ac:dyDescent="0.2">
      <c r="A17" s="1">
        <v>6</v>
      </c>
      <c r="B17" s="4" t="s">
        <v>42</v>
      </c>
      <c r="C17" s="11">
        <v>8084</v>
      </c>
      <c r="D17" s="11">
        <v>75718</v>
      </c>
      <c r="E17" s="23">
        <v>844</v>
      </c>
      <c r="F17" s="11">
        <v>612101718</v>
      </c>
      <c r="G17" s="12">
        <v>0.94499999999999995</v>
      </c>
      <c r="H17" s="12">
        <v>0.47499999999999998</v>
      </c>
      <c r="I17" s="12">
        <v>0.94799999999999995</v>
      </c>
      <c r="J17" s="12">
        <v>0.93500000000000005</v>
      </c>
      <c r="K17" s="12">
        <v>0.94599999999999995</v>
      </c>
      <c r="L17" s="13">
        <v>0.64100000000000001</v>
      </c>
      <c r="M17" s="12">
        <v>0.40799999999999997</v>
      </c>
      <c r="N17" s="12">
        <v>0.18099999999999999</v>
      </c>
      <c r="O17" s="12">
        <v>4.2999999999999997E-2</v>
      </c>
      <c r="P17" s="13">
        <v>0.185</v>
      </c>
      <c r="Q17" s="12">
        <v>0.214</v>
      </c>
      <c r="R17" s="12">
        <v>1.2E-2</v>
      </c>
      <c r="S17" s="12">
        <v>0.64100000000000001</v>
      </c>
      <c r="T17" s="11">
        <v>30452</v>
      </c>
      <c r="U17" s="11">
        <v>1670</v>
      </c>
    </row>
    <row r="18" spans="1:43" x14ac:dyDescent="0.2">
      <c r="A18" s="1">
        <v>7</v>
      </c>
      <c r="B18" s="4" t="s">
        <v>43</v>
      </c>
      <c r="C18" s="11">
        <v>8052</v>
      </c>
      <c r="D18" s="11">
        <v>89067</v>
      </c>
      <c r="E18" s="23">
        <v>997</v>
      </c>
      <c r="F18" s="11">
        <v>717170394</v>
      </c>
      <c r="G18" s="12">
        <v>0.94499999999999995</v>
      </c>
      <c r="H18" s="12">
        <v>0.51500000000000001</v>
      </c>
      <c r="I18" s="12">
        <v>0.94599999999999995</v>
      </c>
      <c r="J18" s="12">
        <v>0.93400000000000005</v>
      </c>
      <c r="K18" s="12">
        <v>0.94399999999999995</v>
      </c>
      <c r="L18" s="13">
        <v>0.623</v>
      </c>
      <c r="M18" s="12">
        <v>0.434</v>
      </c>
      <c r="N18" s="12">
        <v>0.17499999999999999</v>
      </c>
      <c r="O18" s="12">
        <v>4.9000000000000002E-2</v>
      </c>
      <c r="P18" s="13">
        <v>0.21099999999999999</v>
      </c>
      <c r="Q18" s="12">
        <v>0.24399999999999999</v>
      </c>
      <c r="R18" s="12">
        <v>1.4E-2</v>
      </c>
      <c r="S18" s="12">
        <v>0.76700000000000002</v>
      </c>
      <c r="T18" s="11">
        <v>31143</v>
      </c>
      <c r="U18" s="11">
        <v>2152</v>
      </c>
    </row>
    <row r="19" spans="1:43" x14ac:dyDescent="0.2">
      <c r="A19" s="1">
        <v>8</v>
      </c>
      <c r="B19" s="4" t="s">
        <v>44</v>
      </c>
      <c r="C19" s="11">
        <v>8364</v>
      </c>
      <c r="D19" s="11">
        <v>64605</v>
      </c>
      <c r="E19" s="23">
        <v>867</v>
      </c>
      <c r="F19" s="11">
        <v>540356126</v>
      </c>
      <c r="G19" s="12">
        <v>0.93400000000000005</v>
      </c>
      <c r="H19" s="12">
        <v>0.33800000000000002</v>
      </c>
      <c r="I19" s="12">
        <v>0.94699999999999995</v>
      </c>
      <c r="J19" s="12">
        <v>0.93500000000000005</v>
      </c>
      <c r="K19" s="12">
        <v>0.94499999999999995</v>
      </c>
      <c r="L19" s="13">
        <v>0.73299999999999998</v>
      </c>
      <c r="M19" s="12">
        <v>0.51300000000000001</v>
      </c>
      <c r="N19" s="12">
        <v>0.16700000000000001</v>
      </c>
      <c r="O19" s="12">
        <v>7.9000000000000001E-2</v>
      </c>
      <c r="P19" s="13">
        <v>0.26800000000000002</v>
      </c>
      <c r="Q19" s="12">
        <v>0.32300000000000001</v>
      </c>
      <c r="R19" s="12">
        <v>2.1000000000000001E-2</v>
      </c>
      <c r="S19" s="12">
        <v>0.75700000000000001</v>
      </c>
      <c r="T19" s="11">
        <v>32566</v>
      </c>
      <c r="U19" s="11">
        <v>1602</v>
      </c>
    </row>
    <row r="20" spans="1:43" x14ac:dyDescent="0.2">
      <c r="C20" s="15"/>
      <c r="D20" s="15"/>
      <c r="F20" s="15"/>
      <c r="G20" s="16"/>
      <c r="H20" s="16"/>
      <c r="I20" s="16"/>
      <c r="J20" s="16"/>
      <c r="K20" s="16"/>
      <c r="L20" s="16"/>
      <c r="M20" s="16"/>
      <c r="N20" s="16"/>
      <c r="O20" s="16"/>
      <c r="Q20" s="16"/>
      <c r="R20" s="16"/>
      <c r="S20" s="16"/>
      <c r="T20" s="15"/>
      <c r="U20" s="15"/>
    </row>
    <row r="21" spans="1:43" x14ac:dyDescent="0.2">
      <c r="C21" s="15"/>
      <c r="D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Q21" s="16"/>
      <c r="R21" s="16"/>
      <c r="S21" s="16"/>
      <c r="T21" s="15"/>
      <c r="U21" s="15"/>
    </row>
    <row r="22" spans="1:43" x14ac:dyDescent="0.2">
      <c r="A22" s="1" t="s">
        <v>0</v>
      </c>
      <c r="B22" s="2" t="s">
        <v>1</v>
      </c>
      <c r="L22"/>
    </row>
    <row r="23" spans="1:43" x14ac:dyDescent="0.2">
      <c r="A23" s="1" t="s">
        <v>2</v>
      </c>
      <c r="B23" s="2" t="s">
        <v>3</v>
      </c>
      <c r="C23" s="2"/>
      <c r="D23" s="2"/>
      <c r="E23" s="2"/>
      <c r="F23" s="2"/>
      <c r="L23"/>
    </row>
    <row r="24" spans="1:43" x14ac:dyDescent="0.2">
      <c r="A24" s="1" t="s">
        <v>4</v>
      </c>
      <c r="B24" s="2" t="s">
        <v>5</v>
      </c>
      <c r="L24"/>
    </row>
    <row r="25" spans="1:43" x14ac:dyDescent="0.2">
      <c r="A25" s="1" t="s">
        <v>6</v>
      </c>
      <c r="B25" s="4">
        <v>8</v>
      </c>
      <c r="L25"/>
    </row>
    <row r="26" spans="1:43" x14ac:dyDescent="0.2">
      <c r="A26" s="1" t="s">
        <v>7</v>
      </c>
      <c r="B26" s="2" t="s">
        <v>8</v>
      </c>
      <c r="L26"/>
    </row>
    <row r="27" spans="1:43" x14ac:dyDescent="0.2">
      <c r="A27" s="1" t="s">
        <v>9</v>
      </c>
      <c r="B27" s="2" t="s">
        <v>10</v>
      </c>
      <c r="L27"/>
    </row>
    <row r="28" spans="1:43" x14ac:dyDescent="0.2">
      <c r="A28" s="1" t="s">
        <v>11</v>
      </c>
      <c r="B28" s="2" t="s">
        <v>81</v>
      </c>
      <c r="L28"/>
    </row>
    <row r="29" spans="1:43" x14ac:dyDescent="0.2">
      <c r="A29" s="1" t="s">
        <v>12</v>
      </c>
      <c r="B29" s="2" t="s">
        <v>45</v>
      </c>
      <c r="L29"/>
    </row>
    <row r="30" spans="1:43" x14ac:dyDescent="0.2">
      <c r="A30" s="1" t="s">
        <v>13</v>
      </c>
      <c r="B30" s="2" t="s">
        <v>14</v>
      </c>
      <c r="L30"/>
    </row>
    <row r="31" spans="1:43" x14ac:dyDescent="0.2">
      <c r="A31" s="1" t="s">
        <v>15</v>
      </c>
      <c r="B31" s="5">
        <v>45602</v>
      </c>
      <c r="L31"/>
    </row>
    <row r="32" spans="1:43" s="9" customFormat="1" ht="112" x14ac:dyDescent="0.2">
      <c r="A32" s="6" t="s">
        <v>16</v>
      </c>
      <c r="B32" s="7" t="s">
        <v>17</v>
      </c>
      <c r="C32" s="6" t="s">
        <v>18</v>
      </c>
      <c r="D32" s="6" t="s">
        <v>19</v>
      </c>
      <c r="E32" s="6" t="s">
        <v>21</v>
      </c>
      <c r="F32" s="6" t="s">
        <v>22</v>
      </c>
      <c r="G32" s="6" t="s">
        <v>23</v>
      </c>
      <c r="H32" s="6" t="s">
        <v>24</v>
      </c>
      <c r="I32" s="6" t="s">
        <v>25</v>
      </c>
      <c r="J32" s="6" t="s">
        <v>26</v>
      </c>
      <c r="K32" s="6" t="s">
        <v>27</v>
      </c>
      <c r="L32" s="8" t="s">
        <v>46</v>
      </c>
      <c r="M32" s="8" t="s">
        <v>47</v>
      </c>
      <c r="N32" s="6" t="s">
        <v>28</v>
      </c>
      <c r="O32" s="6" t="s">
        <v>48</v>
      </c>
      <c r="P32" s="6" t="s">
        <v>49</v>
      </c>
      <c r="Q32" s="6" t="s">
        <v>29</v>
      </c>
      <c r="R32" s="6" t="s">
        <v>50</v>
      </c>
      <c r="S32" s="6" t="s">
        <v>51</v>
      </c>
      <c r="T32" s="6" t="s">
        <v>30</v>
      </c>
      <c r="U32" s="6" t="s">
        <v>52</v>
      </c>
      <c r="V32" s="6" t="s">
        <v>53</v>
      </c>
      <c r="W32" s="6" t="s">
        <v>31</v>
      </c>
      <c r="X32" s="6" t="s">
        <v>54</v>
      </c>
      <c r="Y32" s="6" t="s">
        <v>55</v>
      </c>
      <c r="Z32" s="6" t="s">
        <v>32</v>
      </c>
      <c r="AA32" s="6" t="s">
        <v>56</v>
      </c>
      <c r="AB32" s="6" t="s">
        <v>57</v>
      </c>
      <c r="AC32" s="6" t="s">
        <v>33</v>
      </c>
      <c r="AD32" s="17" t="s">
        <v>58</v>
      </c>
      <c r="AE32" s="17" t="s">
        <v>59</v>
      </c>
      <c r="AF32" s="6" t="s">
        <v>34</v>
      </c>
      <c r="AG32" s="6" t="s">
        <v>60</v>
      </c>
      <c r="AH32" s="6" t="s">
        <v>61</v>
      </c>
      <c r="AI32" s="6" t="s">
        <v>62</v>
      </c>
      <c r="AJ32" s="6" t="s">
        <v>63</v>
      </c>
      <c r="AK32" s="6" t="s">
        <v>64</v>
      </c>
      <c r="AL32" s="6" t="s">
        <v>65</v>
      </c>
      <c r="AM32" s="6" t="s">
        <v>66</v>
      </c>
      <c r="AN32" s="6" t="s">
        <v>67</v>
      </c>
      <c r="AO32" s="6" t="s">
        <v>68</v>
      </c>
      <c r="AP32" s="6" t="s">
        <v>69</v>
      </c>
      <c r="AQ32" s="6" t="s">
        <v>70</v>
      </c>
    </row>
    <row r="33" spans="1:43" ht="16" x14ac:dyDescent="0.2">
      <c r="A33" s="1">
        <v>1</v>
      </c>
      <c r="B33" s="10" t="s">
        <v>71</v>
      </c>
      <c r="C33" s="11">
        <v>9689</v>
      </c>
      <c r="D33" s="11">
        <v>23207</v>
      </c>
      <c r="E33" s="11">
        <v>224853971</v>
      </c>
      <c r="F33" s="12">
        <v>0.95199999999999996</v>
      </c>
      <c r="G33" s="12">
        <v>0.34300000000000003</v>
      </c>
      <c r="H33" s="12">
        <v>0.94599999999999995</v>
      </c>
      <c r="I33" s="12">
        <v>0.92800000000000005</v>
      </c>
      <c r="J33" s="12">
        <v>0.94499999999999995</v>
      </c>
      <c r="K33" s="12">
        <v>0.94299999999999995</v>
      </c>
      <c r="L33" s="13">
        <v>0.34</v>
      </c>
      <c r="M33" s="13">
        <v>0.60299999999999998</v>
      </c>
      <c r="N33" s="12">
        <v>0.72599999999999998</v>
      </c>
      <c r="O33" s="12">
        <v>0.155</v>
      </c>
      <c r="P33" s="12">
        <v>0.57099999999999995</v>
      </c>
      <c r="Q33" s="12">
        <v>0.11</v>
      </c>
      <c r="R33" s="12">
        <v>3.5999999999999997E-2</v>
      </c>
      <c r="S33" s="12">
        <v>7.3999999999999996E-2</v>
      </c>
      <c r="T33" s="12">
        <v>0.14799999999999999</v>
      </c>
      <c r="U33" s="12">
        <v>2.4E-2</v>
      </c>
      <c r="V33" s="12">
        <v>0.124</v>
      </c>
      <c r="W33" s="12">
        <v>0.46800000000000003</v>
      </c>
      <c r="X33" s="12">
        <v>9.6000000000000002E-2</v>
      </c>
      <c r="Y33" s="12">
        <v>0.372</v>
      </c>
      <c r="Z33" s="12">
        <v>0.57799999999999996</v>
      </c>
      <c r="AA33" s="12">
        <v>0.115</v>
      </c>
      <c r="AB33" s="12">
        <v>0.46300000000000002</v>
      </c>
      <c r="AC33" s="12">
        <v>3.5999999999999997E-2</v>
      </c>
      <c r="AD33" s="18">
        <v>436</v>
      </c>
      <c r="AE33" s="19">
        <v>9270</v>
      </c>
      <c r="AF33" s="12">
        <v>0.90200000000000002</v>
      </c>
      <c r="AG33" s="12">
        <v>0.74299999999999999</v>
      </c>
      <c r="AH33" s="12">
        <v>0.93300000000000005</v>
      </c>
      <c r="AI33" s="11">
        <v>3838</v>
      </c>
      <c r="AJ33" s="11">
        <v>1884</v>
      </c>
      <c r="AK33" s="11">
        <v>24379</v>
      </c>
      <c r="AL33" s="11">
        <v>23178</v>
      </c>
      <c r="AM33" s="11">
        <v>10756</v>
      </c>
      <c r="AN33" s="11">
        <v>5974</v>
      </c>
      <c r="AO33" s="11">
        <v>9689</v>
      </c>
      <c r="AP33" s="1">
        <v>462</v>
      </c>
      <c r="AQ33" s="12">
        <v>4.8000000000000001E-2</v>
      </c>
    </row>
    <row r="34" spans="1:43" ht="16" x14ac:dyDescent="0.2">
      <c r="A34" s="1">
        <v>2</v>
      </c>
      <c r="B34" s="10" t="s">
        <v>72</v>
      </c>
      <c r="C34" s="11">
        <v>9964</v>
      </c>
      <c r="D34" s="11">
        <v>26886</v>
      </c>
      <c r="E34" s="11">
        <v>267889898</v>
      </c>
      <c r="F34" s="11">
        <v>0.93799999999999994</v>
      </c>
      <c r="G34" s="12">
        <v>0.22900000000000001</v>
      </c>
      <c r="H34" s="12">
        <v>0.94699999999999995</v>
      </c>
      <c r="I34" s="12">
        <v>0.92600000000000005</v>
      </c>
      <c r="J34" s="12">
        <v>0.94499999999999995</v>
      </c>
      <c r="K34" s="12">
        <v>0.95099999999999996</v>
      </c>
      <c r="L34" s="13">
        <v>0.68500000000000005</v>
      </c>
      <c r="M34" s="13">
        <v>0.26600000000000001</v>
      </c>
      <c r="N34" s="12">
        <v>0.72299999999999998</v>
      </c>
      <c r="O34" s="12">
        <v>0.47699999999999998</v>
      </c>
      <c r="P34" s="12">
        <v>0.245</v>
      </c>
      <c r="Q34" s="12">
        <v>0.107</v>
      </c>
      <c r="R34" s="12">
        <v>8.1000000000000003E-2</v>
      </c>
      <c r="S34" s="12">
        <v>2.5999999999999999E-2</v>
      </c>
      <c r="T34" s="11">
        <v>0.124</v>
      </c>
      <c r="U34" s="20">
        <v>8.2000000000000003E-2</v>
      </c>
      <c r="V34" s="12">
        <v>4.1000000000000002E-2</v>
      </c>
      <c r="W34" s="12">
        <v>0.49099999999999999</v>
      </c>
      <c r="X34" s="12">
        <v>0.314</v>
      </c>
      <c r="Y34" s="12">
        <v>0.17799999999999999</v>
      </c>
      <c r="Z34" s="12">
        <v>0.58399999999999996</v>
      </c>
      <c r="AA34" s="12">
        <v>0.377</v>
      </c>
      <c r="AB34" s="12">
        <v>0.20699999999999999</v>
      </c>
      <c r="AC34" s="12">
        <v>2.8000000000000001E-2</v>
      </c>
      <c r="AD34" s="19">
        <v>3017</v>
      </c>
      <c r="AE34" s="19">
        <v>7022</v>
      </c>
      <c r="AF34" s="12">
        <v>0.73799999999999999</v>
      </c>
      <c r="AG34" s="12">
        <v>0.64900000000000002</v>
      </c>
      <c r="AH34" s="12">
        <v>0.83</v>
      </c>
      <c r="AI34" s="11">
        <v>4148</v>
      </c>
      <c r="AJ34" s="11">
        <v>1313</v>
      </c>
      <c r="AK34" s="11">
        <v>29249</v>
      </c>
      <c r="AL34" s="11">
        <v>22742</v>
      </c>
      <c r="AM34" s="11">
        <v>12458</v>
      </c>
      <c r="AN34" s="11">
        <v>3296</v>
      </c>
      <c r="AO34" s="11">
        <v>9964</v>
      </c>
      <c r="AP34" s="1">
        <v>805</v>
      </c>
      <c r="AQ34" s="12">
        <v>8.1000000000000003E-2</v>
      </c>
    </row>
    <row r="35" spans="1:43" ht="16" x14ac:dyDescent="0.2">
      <c r="A35" s="1">
        <v>3</v>
      </c>
      <c r="B35" s="10" t="s">
        <v>73</v>
      </c>
      <c r="C35" s="11">
        <v>9148</v>
      </c>
      <c r="D35" s="11">
        <v>38908</v>
      </c>
      <c r="E35" s="11">
        <v>355927098</v>
      </c>
      <c r="F35" s="12">
        <v>0.94799999999999995</v>
      </c>
      <c r="G35" s="12">
        <v>0.39800000000000002</v>
      </c>
      <c r="H35" s="12">
        <v>0.94699999999999995</v>
      </c>
      <c r="I35" s="12">
        <v>0.93400000000000005</v>
      </c>
      <c r="J35" s="12">
        <v>0.94599999999999995</v>
      </c>
      <c r="K35" s="12">
        <v>0.94699999999999995</v>
      </c>
      <c r="L35" s="13">
        <v>0.41599999999999998</v>
      </c>
      <c r="M35" s="13">
        <v>0.53100000000000003</v>
      </c>
      <c r="N35" s="12">
        <v>0.73699999999999999</v>
      </c>
      <c r="O35" s="12">
        <v>0.23499999999999999</v>
      </c>
      <c r="P35" s="12">
        <v>0.502</v>
      </c>
      <c r="Q35" s="12">
        <v>0.12</v>
      </c>
      <c r="R35" s="12">
        <v>5.8000000000000003E-2</v>
      </c>
      <c r="S35" s="12">
        <v>6.2E-2</v>
      </c>
      <c r="T35" s="12">
        <v>0.13200000000000001</v>
      </c>
      <c r="U35" s="20">
        <v>3.4000000000000002E-2</v>
      </c>
      <c r="V35" s="12">
        <v>9.8000000000000004E-2</v>
      </c>
      <c r="W35" s="12">
        <v>0.48599999999999999</v>
      </c>
      <c r="X35" s="12">
        <v>0.14299999999999999</v>
      </c>
      <c r="Y35" s="12">
        <v>0.34200000000000003</v>
      </c>
      <c r="Z35" s="12">
        <v>0.58099999999999996</v>
      </c>
      <c r="AA35" s="12">
        <v>0.16800000000000001</v>
      </c>
      <c r="AB35" s="12">
        <v>0.41299999999999998</v>
      </c>
      <c r="AC35" s="12">
        <v>3.4000000000000002E-2</v>
      </c>
      <c r="AD35" s="19">
        <v>1017</v>
      </c>
      <c r="AE35" s="19">
        <v>8144</v>
      </c>
      <c r="AF35" s="12">
        <v>0.88</v>
      </c>
      <c r="AG35" s="12">
        <v>0.746</v>
      </c>
      <c r="AH35" s="12">
        <v>0.91900000000000004</v>
      </c>
      <c r="AI35" s="24">
        <v>889</v>
      </c>
      <c r="AJ35" s="11">
        <v>2200</v>
      </c>
      <c r="AK35" s="11">
        <v>28313</v>
      </c>
      <c r="AL35" s="11">
        <v>23846</v>
      </c>
      <c r="AM35" s="11">
        <v>2221</v>
      </c>
      <c r="AN35" s="11">
        <v>8244</v>
      </c>
      <c r="AO35" s="11">
        <v>9148</v>
      </c>
      <c r="AP35" s="1">
        <v>521</v>
      </c>
      <c r="AQ35" s="12">
        <v>5.7000000000000002E-2</v>
      </c>
    </row>
    <row r="36" spans="1:43" ht="16" x14ac:dyDescent="0.2">
      <c r="A36" s="1">
        <v>4</v>
      </c>
      <c r="B36" s="10" t="s">
        <v>74</v>
      </c>
      <c r="C36" s="11">
        <v>10510</v>
      </c>
      <c r="D36" s="11">
        <v>36689</v>
      </c>
      <c r="E36" s="11">
        <v>385604583</v>
      </c>
      <c r="F36" s="11">
        <v>0.95</v>
      </c>
      <c r="G36" s="12">
        <v>0.44</v>
      </c>
      <c r="H36" s="12">
        <v>0.94799999999999995</v>
      </c>
      <c r="I36" s="12">
        <v>0.93500000000000005</v>
      </c>
      <c r="J36" s="12">
        <v>0.94599999999999995</v>
      </c>
      <c r="K36" s="12">
        <v>0.94399999999999995</v>
      </c>
      <c r="L36" s="13">
        <v>0.38900000000000001</v>
      </c>
      <c r="M36" s="13">
        <v>0.55500000000000005</v>
      </c>
      <c r="N36" s="12">
        <v>0.73699999999999999</v>
      </c>
      <c r="O36" s="12">
        <v>0.21299999999999999</v>
      </c>
      <c r="P36" s="12">
        <v>0.52300000000000002</v>
      </c>
      <c r="Q36" s="12">
        <v>0.111</v>
      </c>
      <c r="R36" s="12">
        <v>4.2999999999999997E-2</v>
      </c>
      <c r="S36" s="12">
        <v>6.8000000000000005E-2</v>
      </c>
      <c r="T36" s="11">
        <v>0.14399999999999999</v>
      </c>
      <c r="U36" s="20">
        <v>3.5000000000000003E-2</v>
      </c>
      <c r="V36" s="12">
        <v>0.11</v>
      </c>
      <c r="W36" s="12">
        <v>0.48099999999999998</v>
      </c>
      <c r="X36" s="12">
        <v>0.13500000000000001</v>
      </c>
      <c r="Y36" s="12">
        <v>0.34599999999999997</v>
      </c>
      <c r="Z36" s="12">
        <v>0.58399999999999996</v>
      </c>
      <c r="AA36" s="12">
        <v>0.161</v>
      </c>
      <c r="AB36" s="12">
        <v>0.42399999999999999</v>
      </c>
      <c r="AC36" s="12">
        <v>3.9E-2</v>
      </c>
      <c r="AD36" s="18">
        <v>880</v>
      </c>
      <c r="AE36" s="19">
        <v>9657</v>
      </c>
      <c r="AF36" s="12">
        <v>0.88400000000000001</v>
      </c>
      <c r="AG36" s="12">
        <v>0.77100000000000002</v>
      </c>
      <c r="AH36" s="12">
        <v>0.91300000000000003</v>
      </c>
      <c r="AI36" s="11">
        <v>3064</v>
      </c>
      <c r="AJ36" s="11">
        <v>1957</v>
      </c>
      <c r="AK36" s="11">
        <v>28446</v>
      </c>
      <c r="AL36" s="11">
        <v>24280</v>
      </c>
      <c r="AM36" s="11">
        <v>8862</v>
      </c>
      <c r="AN36" s="11">
        <v>6809</v>
      </c>
      <c r="AO36" s="11">
        <v>10510</v>
      </c>
      <c r="AP36" s="1">
        <v>628</v>
      </c>
      <c r="AQ36" s="12">
        <v>0.06</v>
      </c>
    </row>
    <row r="37" spans="1:43" x14ac:dyDescent="0.2">
      <c r="A37" s="1">
        <v>5</v>
      </c>
      <c r="B37" s="4" t="s">
        <v>75</v>
      </c>
      <c r="C37" s="11">
        <v>10931</v>
      </c>
      <c r="D37" s="11">
        <v>65910</v>
      </c>
      <c r="E37" s="11">
        <v>720459716</v>
      </c>
      <c r="F37" s="11">
        <v>0.93899999999999995</v>
      </c>
      <c r="G37" s="12">
        <v>0.52400000000000002</v>
      </c>
      <c r="H37" s="12">
        <v>0.94599999999999995</v>
      </c>
      <c r="I37" s="12">
        <v>0.93200000000000005</v>
      </c>
      <c r="J37" s="12">
        <v>0.94399999999999995</v>
      </c>
      <c r="K37" s="12">
        <v>0.92100000000000004</v>
      </c>
      <c r="L37" s="13">
        <v>0.35099999999999998</v>
      </c>
      <c r="M37" s="13">
        <v>0.56999999999999995</v>
      </c>
      <c r="N37" s="12">
        <v>0.73199999999999998</v>
      </c>
      <c r="O37" s="12">
        <v>0.19600000000000001</v>
      </c>
      <c r="P37" s="12">
        <v>0.53600000000000003</v>
      </c>
      <c r="Q37" s="12">
        <v>0.108</v>
      </c>
      <c r="R37" s="12">
        <v>5.3999999999999999E-2</v>
      </c>
      <c r="S37" s="12">
        <v>5.3999999999999999E-2</v>
      </c>
      <c r="T37" s="11">
        <v>0.14899999999999999</v>
      </c>
      <c r="U37" s="20">
        <v>3.2000000000000001E-2</v>
      </c>
      <c r="V37" s="12">
        <v>0.11700000000000001</v>
      </c>
      <c r="W37" s="12">
        <v>0.47399999999999998</v>
      </c>
      <c r="X37" s="12">
        <v>0.109</v>
      </c>
      <c r="Y37" s="12">
        <v>0.36499999999999999</v>
      </c>
      <c r="Z37" s="12">
        <v>0.58199999999999996</v>
      </c>
      <c r="AA37" s="12">
        <v>0.13400000000000001</v>
      </c>
      <c r="AB37" s="12">
        <v>0.44800000000000001</v>
      </c>
      <c r="AC37" s="12">
        <v>0.04</v>
      </c>
      <c r="AD37" s="19">
        <v>1584</v>
      </c>
      <c r="AE37" s="19">
        <v>9363</v>
      </c>
      <c r="AF37" s="12">
        <v>0.78900000000000003</v>
      </c>
      <c r="AG37" s="12">
        <v>0.69199999999999995</v>
      </c>
      <c r="AH37" s="12">
        <v>0.80200000000000005</v>
      </c>
      <c r="AI37" s="24">
        <v>616</v>
      </c>
      <c r="AJ37" s="11">
        <v>2524</v>
      </c>
      <c r="AK37" s="11">
        <v>29389</v>
      </c>
      <c r="AL37" s="11">
        <v>26253</v>
      </c>
      <c r="AM37" s="1">
        <v>966</v>
      </c>
      <c r="AN37" s="11">
        <v>8662</v>
      </c>
      <c r="AO37" s="11">
        <v>10931</v>
      </c>
      <c r="AP37" s="11">
        <v>1557</v>
      </c>
      <c r="AQ37" s="12">
        <v>0.14199999999999999</v>
      </c>
    </row>
    <row r="38" spans="1:43" x14ac:dyDescent="0.2">
      <c r="A38" s="1">
        <v>6</v>
      </c>
      <c r="B38" s="4" t="s">
        <v>76</v>
      </c>
      <c r="C38" s="11">
        <v>10257</v>
      </c>
      <c r="D38" s="11">
        <v>59676</v>
      </c>
      <c r="E38" s="11">
        <v>612101718</v>
      </c>
      <c r="F38" s="12">
        <v>0.94499999999999995</v>
      </c>
      <c r="G38" s="12">
        <v>0.50900000000000001</v>
      </c>
      <c r="H38" s="12">
        <v>0.94799999999999995</v>
      </c>
      <c r="I38" s="12">
        <v>0.93500000000000005</v>
      </c>
      <c r="J38" s="12">
        <v>0.94599999999999995</v>
      </c>
      <c r="K38" s="12">
        <v>0.92500000000000004</v>
      </c>
      <c r="L38" s="13">
        <v>0.54400000000000004</v>
      </c>
      <c r="M38" s="13">
        <v>0.38100000000000001</v>
      </c>
      <c r="N38" s="12">
        <v>0.70399999999999996</v>
      </c>
      <c r="O38" s="12">
        <v>0.35099999999999998</v>
      </c>
      <c r="P38" s="12">
        <v>0.35299999999999998</v>
      </c>
      <c r="Q38" s="12">
        <v>0.217</v>
      </c>
      <c r="R38" s="12">
        <v>0.17399999999999999</v>
      </c>
      <c r="S38" s="12">
        <v>4.2999999999999997E-2</v>
      </c>
      <c r="T38" s="12">
        <v>0.126</v>
      </c>
      <c r="U38" s="12">
        <v>3.7999999999999999E-2</v>
      </c>
      <c r="V38" s="12">
        <v>8.7999999999999995E-2</v>
      </c>
      <c r="W38" s="12">
        <v>0.36</v>
      </c>
      <c r="X38" s="12">
        <v>0.13800000000000001</v>
      </c>
      <c r="Y38" s="12">
        <v>0.222</v>
      </c>
      <c r="Z38" s="12">
        <v>0.44900000000000001</v>
      </c>
      <c r="AA38" s="12">
        <v>0.16700000000000001</v>
      </c>
      <c r="AB38" s="12">
        <v>0.28299999999999997</v>
      </c>
      <c r="AC38" s="12">
        <v>3.5000000000000003E-2</v>
      </c>
      <c r="AD38" s="19">
        <v>1672</v>
      </c>
      <c r="AE38" s="19">
        <v>8608</v>
      </c>
      <c r="AF38" s="12">
        <v>0.73799999999999999</v>
      </c>
      <c r="AG38" s="12">
        <v>0.59199999999999997</v>
      </c>
      <c r="AH38" s="12">
        <v>0.79300000000000004</v>
      </c>
      <c r="AI38" s="24">
        <v>826</v>
      </c>
      <c r="AJ38" s="11">
        <v>1995</v>
      </c>
      <c r="AK38" s="11">
        <v>29471</v>
      </c>
      <c r="AL38" s="11">
        <v>25114</v>
      </c>
      <c r="AM38" s="11">
        <v>1814</v>
      </c>
      <c r="AN38" s="11">
        <v>5848</v>
      </c>
      <c r="AO38" s="11">
        <v>10257</v>
      </c>
      <c r="AP38" s="11">
        <v>2938</v>
      </c>
      <c r="AQ38" s="12">
        <v>0.28599999999999998</v>
      </c>
    </row>
    <row r="39" spans="1:43" x14ac:dyDescent="0.2">
      <c r="A39" s="1">
        <v>7</v>
      </c>
      <c r="B39" s="4" t="s">
        <v>77</v>
      </c>
      <c r="C39" s="11">
        <v>9611</v>
      </c>
      <c r="D39" s="11">
        <v>74620</v>
      </c>
      <c r="E39" s="11">
        <v>717170394</v>
      </c>
      <c r="F39" s="12">
        <v>0.94499999999999995</v>
      </c>
      <c r="G39" s="12">
        <v>0.54600000000000004</v>
      </c>
      <c r="H39" s="12">
        <v>0.94599999999999995</v>
      </c>
      <c r="I39" s="12">
        <v>0.93400000000000005</v>
      </c>
      <c r="J39" s="12">
        <v>0.94399999999999995</v>
      </c>
      <c r="K39" s="12">
        <v>0.92800000000000005</v>
      </c>
      <c r="L39" s="13">
        <v>0.52500000000000002</v>
      </c>
      <c r="M39" s="13">
        <v>0.40400000000000003</v>
      </c>
      <c r="N39" s="12">
        <v>0.748</v>
      </c>
      <c r="O39" s="12">
        <v>0.371</v>
      </c>
      <c r="P39" s="12">
        <v>0.377</v>
      </c>
      <c r="Q39" s="12">
        <v>0.21199999999999999</v>
      </c>
      <c r="R39" s="12">
        <v>0.16800000000000001</v>
      </c>
      <c r="S39" s="12">
        <v>4.3999999999999997E-2</v>
      </c>
      <c r="T39" s="12">
        <v>0.14099999999999999</v>
      </c>
      <c r="U39" s="12">
        <v>4.3999999999999997E-2</v>
      </c>
      <c r="V39" s="12">
        <v>9.8000000000000004E-2</v>
      </c>
      <c r="W39" s="12">
        <v>0.39500000000000002</v>
      </c>
      <c r="X39" s="12">
        <v>0.16</v>
      </c>
      <c r="Y39" s="12">
        <v>0.23499999999999999</v>
      </c>
      <c r="Z39" s="12">
        <v>0.497</v>
      </c>
      <c r="AA39" s="12">
        <v>0.192</v>
      </c>
      <c r="AB39" s="12">
        <v>0.30399999999999999</v>
      </c>
      <c r="AC39" s="12">
        <v>3.6999999999999998E-2</v>
      </c>
      <c r="AD39" s="19">
        <v>1278</v>
      </c>
      <c r="AE39" s="19">
        <v>8358</v>
      </c>
      <c r="AF39" s="12">
        <v>0.83899999999999997</v>
      </c>
      <c r="AG39" s="12">
        <v>0.72399999999999998</v>
      </c>
      <c r="AH39" s="12">
        <v>0.89</v>
      </c>
      <c r="AI39" s="11">
        <v>1384</v>
      </c>
      <c r="AJ39" s="11">
        <v>2360</v>
      </c>
      <c r="AK39" s="11">
        <v>30253</v>
      </c>
      <c r="AL39" s="11">
        <v>25332</v>
      </c>
      <c r="AM39" s="11">
        <v>5031</v>
      </c>
      <c r="AN39" s="11">
        <v>8096</v>
      </c>
      <c r="AO39" s="11">
        <v>9611</v>
      </c>
      <c r="AP39" s="11">
        <v>2123</v>
      </c>
      <c r="AQ39" s="12">
        <v>0.221</v>
      </c>
    </row>
    <row r="40" spans="1:43" x14ac:dyDescent="0.2">
      <c r="A40" s="1">
        <v>8</v>
      </c>
      <c r="B40" s="4" t="s">
        <v>78</v>
      </c>
      <c r="C40" s="11">
        <v>9642</v>
      </c>
      <c r="D40" s="11">
        <v>56042</v>
      </c>
      <c r="E40" s="11">
        <v>540356126</v>
      </c>
      <c r="F40" s="12">
        <v>0.93400000000000005</v>
      </c>
      <c r="G40" s="12">
        <v>0.34799999999999998</v>
      </c>
      <c r="H40" s="12">
        <v>0.94699999999999995</v>
      </c>
      <c r="I40" s="12">
        <v>0.93500000000000005</v>
      </c>
      <c r="J40" s="12">
        <v>0.94499999999999995</v>
      </c>
      <c r="K40" s="12">
        <v>0.92700000000000005</v>
      </c>
      <c r="L40" s="13">
        <v>0.65</v>
      </c>
      <c r="M40" s="13">
        <v>0.27800000000000002</v>
      </c>
      <c r="N40" s="12">
        <v>0.71899999999999997</v>
      </c>
      <c r="O40" s="12">
        <v>0.46600000000000003</v>
      </c>
      <c r="P40" s="12">
        <v>0.253</v>
      </c>
      <c r="Q40" s="12">
        <v>0.193</v>
      </c>
      <c r="R40" s="12">
        <v>0.161</v>
      </c>
      <c r="S40" s="12">
        <v>3.2000000000000001E-2</v>
      </c>
      <c r="T40" s="12">
        <v>0.13800000000000001</v>
      </c>
      <c r="U40" s="12">
        <v>7.4999999999999997E-2</v>
      </c>
      <c r="V40" s="12">
        <v>6.3E-2</v>
      </c>
      <c r="W40" s="12">
        <v>0.38800000000000001</v>
      </c>
      <c r="X40" s="12">
        <v>0.23</v>
      </c>
      <c r="Y40" s="12">
        <v>0.159</v>
      </c>
      <c r="Z40" s="12">
        <v>0.48599999999999999</v>
      </c>
      <c r="AA40" s="12">
        <v>0.28499999999999998</v>
      </c>
      <c r="AB40" s="12">
        <v>0.20100000000000001</v>
      </c>
      <c r="AC40" s="12">
        <v>3.7999999999999999E-2</v>
      </c>
      <c r="AD40" s="19">
        <v>2621</v>
      </c>
      <c r="AE40" s="19">
        <v>7058</v>
      </c>
      <c r="AF40" s="12">
        <v>0.78200000000000003</v>
      </c>
      <c r="AG40" s="12">
        <v>0.73899999999999999</v>
      </c>
      <c r="AH40" s="12">
        <v>0.79200000000000004</v>
      </c>
      <c r="AI40" s="11">
        <v>4682</v>
      </c>
      <c r="AJ40" s="11">
        <v>2028</v>
      </c>
      <c r="AK40" s="11">
        <v>32092</v>
      </c>
      <c r="AL40" s="11">
        <v>25689</v>
      </c>
      <c r="AM40" s="11">
        <v>15628</v>
      </c>
      <c r="AN40" s="11">
        <v>5280</v>
      </c>
      <c r="AO40" s="11">
        <v>9642</v>
      </c>
      <c r="AP40" s="11">
        <v>1507</v>
      </c>
      <c r="AQ40" s="12">
        <v>0.156</v>
      </c>
    </row>
    <row r="41" spans="1:43" x14ac:dyDescent="0.2">
      <c r="L41"/>
    </row>
    <row r="42" spans="1:43" x14ac:dyDescent="0.2">
      <c r="L42"/>
    </row>
    <row r="43" spans="1:43" x14ac:dyDescent="0.2">
      <c r="L43"/>
    </row>
    <row r="44" spans="1:43" x14ac:dyDescent="0.2">
      <c r="L44"/>
    </row>
    <row r="45" spans="1:43" x14ac:dyDescent="0.2">
      <c r="L45"/>
    </row>
    <row r="46" spans="1:43" x14ac:dyDescent="0.2">
      <c r="L46"/>
    </row>
    <row r="47" spans="1:43" x14ac:dyDescent="0.2">
      <c r="L47"/>
    </row>
    <row r="48" spans="1:43" x14ac:dyDescent="0.2">
      <c r="L48"/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</sheetData>
  <conditionalFormatting sqref="AQ33:AQ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F392-67AC-1F48-BA07-903D3C061B74}">
  <dimension ref="A1:AP67"/>
  <sheetViews>
    <sheetView topLeftCell="A39" zoomScale="89" zoomScaleNormal="89" workbookViewId="0">
      <pane xSplit="2" ySplit="1" topLeftCell="C40" activePane="bottomRight" state="frozen"/>
      <selection activeCell="A39" sqref="A39"/>
      <selection pane="topRight" activeCell="C39" sqref="C39"/>
      <selection pane="bottomLeft" activeCell="A40" sqref="A40"/>
      <selection pane="bottomRight" activeCell="AP51" sqref="A39:AP51"/>
    </sheetView>
  </sheetViews>
  <sheetFormatPr baseColWidth="10" defaultColWidth="8.83203125" defaultRowHeight="15" x14ac:dyDescent="0.2"/>
  <cols>
    <col min="1" max="1" width="22.6640625" bestFit="1" customWidth="1"/>
    <col min="2" max="2" width="25.1640625" customWidth="1"/>
    <col min="3" max="10" width="1" customWidth="1"/>
    <col min="11" max="11" width="9.1640625" customWidth="1"/>
    <col min="12" max="12" width="8.83203125" style="3"/>
    <col min="13" max="18" width="1.5" customWidth="1"/>
    <col min="19" max="21" width="7" customWidth="1"/>
    <col min="22" max="22" width="1.5" customWidth="1"/>
    <col min="23" max="28" width="1" customWidth="1"/>
    <col min="29" max="30" width="8.83203125" bestFit="1" customWidth="1"/>
    <col min="32" max="37" width="2" customWidth="1"/>
    <col min="40" max="41" width="6.83203125" bestFit="1" customWidth="1"/>
    <col min="42" max="42" width="7.5" bestFit="1" customWidth="1"/>
  </cols>
  <sheetData>
    <row r="1" spans="1:21" x14ac:dyDescent="0.2">
      <c r="A1" s="1" t="s">
        <v>0</v>
      </c>
      <c r="B1" s="2" t="s">
        <v>1</v>
      </c>
      <c r="L1"/>
    </row>
    <row r="2" spans="1:21" x14ac:dyDescent="0.2">
      <c r="A2" s="1" t="s">
        <v>2</v>
      </c>
      <c r="B2" s="2" t="s">
        <v>3</v>
      </c>
      <c r="C2" s="2"/>
      <c r="D2" s="2"/>
      <c r="E2" s="2"/>
      <c r="F2" s="2"/>
      <c r="L2"/>
    </row>
    <row r="3" spans="1:21" x14ac:dyDescent="0.2">
      <c r="A3" s="1" t="s">
        <v>4</v>
      </c>
      <c r="B3" s="2" t="s">
        <v>5</v>
      </c>
      <c r="L3"/>
    </row>
    <row r="4" spans="1:21" x14ac:dyDescent="0.2">
      <c r="A4" s="1" t="s">
        <v>6</v>
      </c>
      <c r="B4" s="4">
        <v>12</v>
      </c>
      <c r="L4"/>
    </row>
    <row r="5" spans="1:21" x14ac:dyDescent="0.2">
      <c r="A5" s="25" t="s">
        <v>82</v>
      </c>
      <c r="B5" s="26" t="s">
        <v>83</v>
      </c>
    </row>
    <row r="6" spans="1:21" x14ac:dyDescent="0.2">
      <c r="A6" s="1" t="s">
        <v>7</v>
      </c>
      <c r="B6" s="2" t="s">
        <v>8</v>
      </c>
      <c r="L6"/>
    </row>
    <row r="7" spans="1:21" x14ac:dyDescent="0.2">
      <c r="A7" s="1" t="s">
        <v>9</v>
      </c>
      <c r="B7" s="2" t="s">
        <v>10</v>
      </c>
      <c r="L7"/>
    </row>
    <row r="8" spans="1:21" x14ac:dyDescent="0.2">
      <c r="A8" s="1" t="s">
        <v>11</v>
      </c>
      <c r="B8" s="2" t="s">
        <v>80</v>
      </c>
      <c r="L8"/>
    </row>
    <row r="9" spans="1:21" x14ac:dyDescent="0.2">
      <c r="A9" s="1" t="s">
        <v>12</v>
      </c>
      <c r="B9" s="2" t="s">
        <v>79</v>
      </c>
      <c r="L9"/>
    </row>
    <row r="10" spans="1:21" x14ac:dyDescent="0.2">
      <c r="A10" s="1" t="s">
        <v>13</v>
      </c>
      <c r="B10" s="2" t="s">
        <v>84</v>
      </c>
      <c r="L10"/>
    </row>
    <row r="11" spans="1:21" x14ac:dyDescent="0.2">
      <c r="A11" s="27" t="s">
        <v>15</v>
      </c>
      <c r="B11" s="28">
        <v>45644</v>
      </c>
      <c r="L11"/>
    </row>
    <row r="12" spans="1:21" s="9" customFormat="1" ht="409.6" x14ac:dyDescent="0.2">
      <c r="A12" s="6" t="s">
        <v>85</v>
      </c>
      <c r="B12" s="6" t="s">
        <v>18</v>
      </c>
      <c r="C12" s="6" t="s">
        <v>19</v>
      </c>
      <c r="D12" s="6" t="s">
        <v>20</v>
      </c>
      <c r="E12" s="6" t="s">
        <v>21</v>
      </c>
      <c r="F12" s="6" t="s">
        <v>22</v>
      </c>
      <c r="G12" s="6" t="s">
        <v>23</v>
      </c>
      <c r="H12" s="6" t="s">
        <v>24</v>
      </c>
      <c r="I12" s="6" t="s">
        <v>25</v>
      </c>
      <c r="J12" s="6" t="s">
        <v>26</v>
      </c>
      <c r="K12" s="6" t="s">
        <v>27</v>
      </c>
      <c r="L12" s="6" t="s">
        <v>28</v>
      </c>
      <c r="M12" s="6" t="s">
        <v>29</v>
      </c>
      <c r="N12" s="6" t="s">
        <v>30</v>
      </c>
      <c r="O12" s="6" t="s">
        <v>31</v>
      </c>
      <c r="P12" s="6" t="s">
        <v>32</v>
      </c>
      <c r="Q12" s="6" t="s">
        <v>33</v>
      </c>
      <c r="R12" s="6" t="s">
        <v>34</v>
      </c>
      <c r="S12" s="6" t="s">
        <v>35</v>
      </c>
      <c r="T12" s="6" t="s">
        <v>36</v>
      </c>
      <c r="U12" s="6"/>
    </row>
    <row r="13" spans="1:21" x14ac:dyDescent="0.2">
      <c r="A13" s="1" t="s">
        <v>86</v>
      </c>
      <c r="B13" s="11">
        <v>7887</v>
      </c>
      <c r="C13" s="11">
        <v>39674</v>
      </c>
      <c r="D13" s="1">
        <v>750</v>
      </c>
      <c r="E13" s="11">
        <v>312905640</v>
      </c>
      <c r="F13" s="12">
        <v>0.95099999999999996</v>
      </c>
      <c r="G13" s="12">
        <v>0.39300000000000002</v>
      </c>
      <c r="H13" s="12">
        <v>0.96</v>
      </c>
      <c r="I13" s="12">
        <v>0.94099999999999995</v>
      </c>
      <c r="J13" s="12">
        <v>0.95899999999999996</v>
      </c>
      <c r="K13" s="12">
        <v>0.57399999999999995</v>
      </c>
      <c r="L13" s="12">
        <v>0.48299999999999998</v>
      </c>
      <c r="M13" s="12">
        <v>0.109</v>
      </c>
      <c r="N13" s="12">
        <v>6.9000000000000006E-2</v>
      </c>
      <c r="O13" s="12">
        <v>0.30599999999999999</v>
      </c>
      <c r="P13" s="12">
        <v>0.35</v>
      </c>
      <c r="Q13" s="12">
        <v>2.3E-2</v>
      </c>
      <c r="R13" s="12">
        <v>0.81</v>
      </c>
      <c r="S13" s="11">
        <v>30152</v>
      </c>
      <c r="T13" s="11">
        <v>1477</v>
      </c>
      <c r="U13" s="1"/>
    </row>
    <row r="14" spans="1:21" x14ac:dyDescent="0.2">
      <c r="A14" s="1" t="s">
        <v>87</v>
      </c>
      <c r="B14" s="11">
        <v>8784</v>
      </c>
      <c r="C14" s="11">
        <v>38067</v>
      </c>
      <c r="D14" s="1">
        <v>713</v>
      </c>
      <c r="E14" s="11">
        <v>334376300</v>
      </c>
      <c r="F14" s="12">
        <v>0.95399999999999996</v>
      </c>
      <c r="G14" s="12">
        <v>0.40799999999999997</v>
      </c>
      <c r="H14" s="12">
        <v>0.96199999999999997</v>
      </c>
      <c r="I14" s="12">
        <v>0.94299999999999995</v>
      </c>
      <c r="J14" s="12">
        <v>0.96099999999999997</v>
      </c>
      <c r="K14" s="12">
        <v>0.50600000000000001</v>
      </c>
      <c r="L14" s="12">
        <v>0.42199999999999999</v>
      </c>
      <c r="M14" s="12">
        <v>5.8999999999999997E-2</v>
      </c>
      <c r="N14" s="12">
        <v>7.1999999999999995E-2</v>
      </c>
      <c r="O14" s="12">
        <v>0.29099999999999998</v>
      </c>
      <c r="P14" s="12">
        <v>0.33600000000000002</v>
      </c>
      <c r="Q14" s="12">
        <v>2.5999999999999999E-2</v>
      </c>
      <c r="R14" s="12">
        <v>0.86899999999999999</v>
      </c>
      <c r="S14" s="11">
        <v>30461</v>
      </c>
      <c r="T14" s="11">
        <v>1445</v>
      </c>
      <c r="U14" s="1"/>
    </row>
    <row r="15" spans="1:21" x14ac:dyDescent="0.2">
      <c r="A15" s="1" t="s">
        <v>88</v>
      </c>
      <c r="B15" s="11">
        <v>7313</v>
      </c>
      <c r="C15" s="11">
        <v>40432</v>
      </c>
      <c r="D15" s="1">
        <v>840</v>
      </c>
      <c r="E15" s="11">
        <v>295678425</v>
      </c>
      <c r="F15" s="12">
        <v>0.95</v>
      </c>
      <c r="G15" s="12">
        <v>0.371</v>
      </c>
      <c r="H15" s="12">
        <v>0.96099999999999997</v>
      </c>
      <c r="I15" s="12">
        <v>0.94299999999999995</v>
      </c>
      <c r="J15" s="12">
        <v>0.96</v>
      </c>
      <c r="K15" s="12">
        <v>0.433</v>
      </c>
      <c r="L15" s="12">
        <v>0.34200000000000003</v>
      </c>
      <c r="M15" s="12">
        <v>7.5999999999999998E-2</v>
      </c>
      <c r="N15" s="12">
        <v>4.2999999999999997E-2</v>
      </c>
      <c r="O15" s="12">
        <v>0.224</v>
      </c>
      <c r="P15" s="12">
        <v>0.248</v>
      </c>
      <c r="Q15" s="12">
        <v>1.7000000000000001E-2</v>
      </c>
      <c r="R15" s="12">
        <v>0.77</v>
      </c>
      <c r="S15" s="11">
        <v>29082</v>
      </c>
      <c r="T15" s="11">
        <v>1657</v>
      </c>
      <c r="U15" s="1"/>
    </row>
    <row r="16" spans="1:21" x14ac:dyDescent="0.2">
      <c r="A16" s="1" t="s">
        <v>89</v>
      </c>
      <c r="B16" s="11">
        <v>9480</v>
      </c>
      <c r="C16" s="11">
        <v>36845</v>
      </c>
      <c r="D16" s="1">
        <v>671</v>
      </c>
      <c r="E16" s="11">
        <v>349292868</v>
      </c>
      <c r="F16" s="12">
        <v>0.93799999999999994</v>
      </c>
      <c r="G16" s="12">
        <v>0.32900000000000001</v>
      </c>
      <c r="H16" s="12">
        <v>0.96399999999999997</v>
      </c>
      <c r="I16" s="12">
        <v>0.94099999999999995</v>
      </c>
      <c r="J16" s="12">
        <v>0.96299999999999997</v>
      </c>
      <c r="K16" s="12">
        <v>0.625</v>
      </c>
      <c r="L16" s="12">
        <v>0.51200000000000001</v>
      </c>
      <c r="M16" s="12">
        <v>9.4E-2</v>
      </c>
      <c r="N16" s="12">
        <v>8.8999999999999996E-2</v>
      </c>
      <c r="O16" s="12">
        <v>0.32900000000000001</v>
      </c>
      <c r="P16" s="12">
        <v>0.38600000000000001</v>
      </c>
      <c r="Q16" s="12">
        <v>0.03</v>
      </c>
      <c r="R16" s="12">
        <v>0.79600000000000004</v>
      </c>
      <c r="S16" s="11">
        <v>31430</v>
      </c>
      <c r="T16" s="11">
        <v>1174</v>
      </c>
      <c r="U16" s="1"/>
    </row>
    <row r="17" spans="1:21" x14ac:dyDescent="0.2">
      <c r="A17" s="1" t="s">
        <v>90</v>
      </c>
      <c r="B17" s="11">
        <v>7613</v>
      </c>
      <c r="C17" s="11">
        <v>56934</v>
      </c>
      <c r="D17" s="11">
        <v>1090</v>
      </c>
      <c r="E17" s="11">
        <v>433436603</v>
      </c>
      <c r="F17" s="12">
        <v>0.93799999999999994</v>
      </c>
      <c r="G17" s="12">
        <v>0.434</v>
      </c>
      <c r="H17" s="12">
        <v>0.95899999999999996</v>
      </c>
      <c r="I17" s="12">
        <v>0.93899999999999995</v>
      </c>
      <c r="J17" s="12">
        <v>0.95699999999999996</v>
      </c>
      <c r="K17" s="12">
        <v>0.45200000000000001</v>
      </c>
      <c r="L17" s="12">
        <v>0.33400000000000002</v>
      </c>
      <c r="M17" s="12">
        <v>0.105</v>
      </c>
      <c r="N17" s="12">
        <v>2.9000000000000001E-2</v>
      </c>
      <c r="O17" s="12">
        <v>0.2</v>
      </c>
      <c r="P17" s="12">
        <v>0.215</v>
      </c>
      <c r="Q17" s="12">
        <v>1.2999999999999999E-2</v>
      </c>
      <c r="R17" s="12">
        <v>0.78</v>
      </c>
      <c r="S17" s="11">
        <v>29408</v>
      </c>
      <c r="T17" s="11">
        <v>2423</v>
      </c>
      <c r="U17" s="1"/>
    </row>
    <row r="18" spans="1:21" x14ac:dyDescent="0.2">
      <c r="A18" s="1" t="s">
        <v>91</v>
      </c>
      <c r="B18" s="11">
        <v>11441</v>
      </c>
      <c r="C18" s="11">
        <v>48092</v>
      </c>
      <c r="D18" s="11">
        <v>1132</v>
      </c>
      <c r="E18" s="11">
        <v>550226101</v>
      </c>
      <c r="F18" s="12">
        <v>0.93500000000000005</v>
      </c>
      <c r="G18" s="12">
        <v>0.34</v>
      </c>
      <c r="H18" s="12">
        <v>0.96099999999999997</v>
      </c>
      <c r="I18" s="12">
        <v>0.93899999999999995</v>
      </c>
      <c r="J18" s="12">
        <v>0.96</v>
      </c>
      <c r="K18" s="12">
        <v>0.73</v>
      </c>
      <c r="L18" s="12">
        <v>0.60399999999999998</v>
      </c>
      <c r="M18" s="12">
        <v>8.2000000000000003E-2</v>
      </c>
      <c r="N18" s="12">
        <v>8.7999999999999995E-2</v>
      </c>
      <c r="O18" s="12">
        <v>0.435</v>
      </c>
      <c r="P18" s="12">
        <v>0.49099999999999999</v>
      </c>
      <c r="Q18" s="12">
        <v>2.8000000000000001E-2</v>
      </c>
      <c r="R18" s="12">
        <v>0.80300000000000005</v>
      </c>
      <c r="S18" s="11">
        <v>32276</v>
      </c>
      <c r="T18" s="11">
        <v>1994</v>
      </c>
      <c r="U18" s="1"/>
    </row>
    <row r="19" spans="1:21" x14ac:dyDescent="0.2">
      <c r="A19" s="1" t="s">
        <v>92</v>
      </c>
      <c r="B19" s="11">
        <v>10863</v>
      </c>
      <c r="C19" s="11">
        <v>36263</v>
      </c>
      <c r="D19" s="1">
        <v>654</v>
      </c>
      <c r="E19" s="11">
        <v>393920434</v>
      </c>
      <c r="F19" s="12">
        <v>0.96499999999999997</v>
      </c>
      <c r="G19" s="12">
        <v>0.35799999999999998</v>
      </c>
      <c r="H19" s="12">
        <v>0.96399999999999997</v>
      </c>
      <c r="I19" s="12">
        <v>0.94899999999999995</v>
      </c>
      <c r="J19" s="12">
        <v>0.96299999999999997</v>
      </c>
      <c r="K19" s="12">
        <v>0.22</v>
      </c>
      <c r="L19" s="12">
        <v>0.17599999999999999</v>
      </c>
      <c r="M19" s="12">
        <v>2.3E-2</v>
      </c>
      <c r="N19" s="12">
        <v>1.4E-2</v>
      </c>
      <c r="O19" s="12">
        <v>0.13900000000000001</v>
      </c>
      <c r="P19" s="12">
        <v>0.14099999999999999</v>
      </c>
      <c r="Q19" s="12">
        <v>1.0999999999999999E-2</v>
      </c>
      <c r="R19" s="12">
        <v>0.95399999999999996</v>
      </c>
      <c r="S19" s="11">
        <v>17742</v>
      </c>
      <c r="T19" s="11">
        <v>1323</v>
      </c>
      <c r="U19" s="1"/>
    </row>
    <row r="20" spans="1:21" x14ac:dyDescent="0.2">
      <c r="A20" s="1" t="s">
        <v>93</v>
      </c>
      <c r="B20" s="11">
        <v>9661</v>
      </c>
      <c r="C20" s="11">
        <v>40495</v>
      </c>
      <c r="D20" s="1">
        <v>608</v>
      </c>
      <c r="E20" s="11">
        <v>391219659</v>
      </c>
      <c r="F20" s="12">
        <v>0.95899999999999996</v>
      </c>
      <c r="G20" s="12">
        <v>0.504</v>
      </c>
      <c r="H20" s="12">
        <v>0.96199999999999997</v>
      </c>
      <c r="I20" s="12">
        <v>0.94699999999999995</v>
      </c>
      <c r="J20" s="12">
        <v>0.96</v>
      </c>
      <c r="K20" s="12">
        <v>0.52</v>
      </c>
      <c r="L20" s="12">
        <v>0.46899999999999997</v>
      </c>
      <c r="M20" s="12">
        <v>7.4999999999999997E-2</v>
      </c>
      <c r="N20" s="12">
        <v>0.06</v>
      </c>
      <c r="O20" s="12">
        <v>0.33400000000000002</v>
      </c>
      <c r="P20" s="12">
        <v>0.36799999999999999</v>
      </c>
      <c r="Q20" s="12">
        <v>2.3E-2</v>
      </c>
      <c r="R20" s="12">
        <v>0.90400000000000003</v>
      </c>
      <c r="S20" s="11">
        <v>30559</v>
      </c>
      <c r="T20" s="11">
        <v>1179</v>
      </c>
      <c r="U20" s="1"/>
    </row>
    <row r="21" spans="1:21" x14ac:dyDescent="0.2">
      <c r="A21" s="1" t="s">
        <v>94</v>
      </c>
      <c r="B21" s="11">
        <v>6749</v>
      </c>
      <c r="C21" s="11">
        <v>53808</v>
      </c>
      <c r="D21" s="1">
        <v>819</v>
      </c>
      <c r="E21" s="11">
        <v>363146999</v>
      </c>
      <c r="F21" s="12">
        <v>0.96299999999999997</v>
      </c>
      <c r="G21" s="12">
        <v>0.48399999999999999</v>
      </c>
      <c r="H21" s="12">
        <v>0.96199999999999997</v>
      </c>
      <c r="I21" s="12">
        <v>0.94799999999999995</v>
      </c>
      <c r="J21" s="12">
        <v>0.96</v>
      </c>
      <c r="K21" s="12">
        <v>0.65500000000000003</v>
      </c>
      <c r="L21" s="12">
        <v>0.6</v>
      </c>
      <c r="M21" s="12">
        <v>5.2999999999999999E-2</v>
      </c>
      <c r="N21" s="12">
        <v>9.9000000000000005E-2</v>
      </c>
      <c r="O21" s="12">
        <v>0.44700000000000001</v>
      </c>
      <c r="P21" s="12">
        <v>0.51200000000000001</v>
      </c>
      <c r="Q21" s="12">
        <v>3.1E-2</v>
      </c>
      <c r="R21" s="12">
        <v>0.92200000000000004</v>
      </c>
      <c r="S21" s="11">
        <v>30948</v>
      </c>
      <c r="T21" s="11">
        <v>1692</v>
      </c>
      <c r="U21" s="1"/>
    </row>
    <row r="22" spans="1:21" x14ac:dyDescent="0.2">
      <c r="A22" s="1" t="s">
        <v>95</v>
      </c>
      <c r="B22" s="11">
        <v>9983</v>
      </c>
      <c r="C22" s="11">
        <v>44708</v>
      </c>
      <c r="D22" s="1">
        <v>908</v>
      </c>
      <c r="E22" s="11">
        <v>446322377</v>
      </c>
      <c r="F22" s="12">
        <v>0.96199999999999997</v>
      </c>
      <c r="G22" s="12">
        <v>0.378</v>
      </c>
      <c r="H22" s="12">
        <v>0.96499999999999997</v>
      </c>
      <c r="I22" s="12">
        <v>0.94699999999999995</v>
      </c>
      <c r="J22" s="12">
        <v>0.96299999999999997</v>
      </c>
      <c r="K22" s="12">
        <v>0.23100000000000001</v>
      </c>
      <c r="L22" s="12">
        <v>0.192</v>
      </c>
      <c r="M22" s="12">
        <v>2.4E-2</v>
      </c>
      <c r="N22" s="12">
        <v>1.4999999999999999E-2</v>
      </c>
      <c r="O22" s="12">
        <v>0.153</v>
      </c>
      <c r="P22" s="12">
        <v>0.156</v>
      </c>
      <c r="Q22" s="12">
        <v>1.2E-2</v>
      </c>
      <c r="R22" s="12">
        <v>0.95799999999999996</v>
      </c>
      <c r="S22" s="11">
        <v>17130</v>
      </c>
      <c r="T22" s="11">
        <v>2230</v>
      </c>
      <c r="U22" s="1"/>
    </row>
    <row r="23" spans="1:21" x14ac:dyDescent="0.2">
      <c r="A23" s="1" t="s">
        <v>96</v>
      </c>
      <c r="B23" s="11">
        <v>17459</v>
      </c>
      <c r="C23" s="11">
        <v>34313</v>
      </c>
      <c r="D23" s="11">
        <v>4978</v>
      </c>
      <c r="E23" s="11">
        <v>599067945</v>
      </c>
      <c r="F23" s="12">
        <v>0.95</v>
      </c>
      <c r="G23" s="12">
        <v>0.29899999999999999</v>
      </c>
      <c r="H23" s="12">
        <v>0.96699999999999997</v>
      </c>
      <c r="I23" s="12">
        <v>0.95499999999999996</v>
      </c>
      <c r="J23" s="12">
        <v>0.96599999999999997</v>
      </c>
      <c r="K23" s="12">
        <v>0.97899999999999998</v>
      </c>
      <c r="L23" s="12">
        <v>0.93799999999999994</v>
      </c>
      <c r="M23" s="12">
        <v>3.4000000000000002E-2</v>
      </c>
      <c r="N23" s="12">
        <v>0.151</v>
      </c>
      <c r="O23" s="12">
        <v>0.754</v>
      </c>
      <c r="P23" s="12">
        <v>0.85399999999999998</v>
      </c>
      <c r="Q23" s="12">
        <v>4.5999999999999999E-2</v>
      </c>
      <c r="R23" s="12">
        <v>0.97099999999999997</v>
      </c>
      <c r="S23" s="11">
        <v>32247</v>
      </c>
      <c r="T23" s="11">
        <v>18252</v>
      </c>
      <c r="U23" s="1"/>
    </row>
    <row r="24" spans="1:21" x14ac:dyDescent="0.2">
      <c r="A24" s="1" t="s">
        <v>97</v>
      </c>
      <c r="B24" s="11">
        <v>13480</v>
      </c>
      <c r="C24" s="11">
        <v>42197</v>
      </c>
      <c r="D24" s="11">
        <v>5766</v>
      </c>
      <c r="E24" s="11">
        <v>568814783</v>
      </c>
      <c r="F24" s="12">
        <v>0.96099999999999997</v>
      </c>
      <c r="G24" s="12">
        <v>0.28499999999999998</v>
      </c>
      <c r="H24" s="12">
        <v>0.96799999999999997</v>
      </c>
      <c r="I24" s="12">
        <v>0.95099999999999996</v>
      </c>
      <c r="J24" s="12">
        <v>0.96599999999999997</v>
      </c>
      <c r="K24" s="12">
        <v>0.97299999999999998</v>
      </c>
      <c r="L24" s="12">
        <v>0.93500000000000005</v>
      </c>
      <c r="M24" s="12">
        <v>4.2000000000000003E-2</v>
      </c>
      <c r="N24" s="12">
        <v>0.16500000000000001</v>
      </c>
      <c r="O24" s="12">
        <v>0.72899999999999998</v>
      </c>
      <c r="P24" s="12">
        <v>0.84399999999999997</v>
      </c>
      <c r="Q24" s="12">
        <v>4.3999999999999997E-2</v>
      </c>
      <c r="R24" s="12">
        <v>0.95399999999999996</v>
      </c>
      <c r="S24" s="11">
        <v>32822</v>
      </c>
      <c r="T24" s="11">
        <v>22586</v>
      </c>
      <c r="U24" s="1"/>
    </row>
    <row r="25" spans="1:21" x14ac:dyDescent="0.2">
      <c r="L25"/>
    </row>
    <row r="26" spans="1:21" x14ac:dyDescent="0.2">
      <c r="L26"/>
    </row>
    <row r="27" spans="1:21" x14ac:dyDescent="0.2">
      <c r="A27" s="1" t="s">
        <v>0</v>
      </c>
      <c r="B27" s="2" t="s">
        <v>1</v>
      </c>
      <c r="L27"/>
    </row>
    <row r="28" spans="1:21" x14ac:dyDescent="0.2">
      <c r="A28" s="1" t="s">
        <v>2</v>
      </c>
      <c r="B28" s="2" t="s">
        <v>3</v>
      </c>
      <c r="L28"/>
    </row>
    <row r="29" spans="1:21" x14ac:dyDescent="0.2">
      <c r="A29" s="1" t="s">
        <v>4</v>
      </c>
      <c r="B29" s="2" t="s">
        <v>5</v>
      </c>
      <c r="L29"/>
    </row>
    <row r="30" spans="1:21" x14ac:dyDescent="0.2">
      <c r="A30" s="1" t="s">
        <v>6</v>
      </c>
      <c r="B30" s="4">
        <v>12</v>
      </c>
      <c r="L30"/>
    </row>
    <row r="31" spans="1:21" x14ac:dyDescent="0.2">
      <c r="A31" s="25" t="s">
        <v>82</v>
      </c>
      <c r="B31" s="26" t="s">
        <v>83</v>
      </c>
      <c r="L31"/>
    </row>
    <row r="32" spans="1:21" x14ac:dyDescent="0.2">
      <c r="A32" s="1" t="s">
        <v>7</v>
      </c>
      <c r="B32" s="2" t="s">
        <v>8</v>
      </c>
      <c r="L32"/>
    </row>
    <row r="33" spans="1:42" x14ac:dyDescent="0.2">
      <c r="A33" s="1" t="s">
        <v>9</v>
      </c>
      <c r="B33" s="2" t="s">
        <v>10</v>
      </c>
      <c r="L33"/>
    </row>
    <row r="34" spans="1:42" x14ac:dyDescent="0.2">
      <c r="A34" s="1" t="s">
        <v>11</v>
      </c>
      <c r="B34" s="2" t="s">
        <v>80</v>
      </c>
      <c r="L34"/>
    </row>
    <row r="35" spans="1:42" x14ac:dyDescent="0.2">
      <c r="A35" s="1" t="s">
        <v>12</v>
      </c>
      <c r="B35" s="2" t="s">
        <v>45</v>
      </c>
      <c r="L35"/>
    </row>
    <row r="36" spans="1:42" x14ac:dyDescent="0.2">
      <c r="A36" s="1" t="s">
        <v>13</v>
      </c>
      <c r="B36" s="2" t="s">
        <v>84</v>
      </c>
      <c r="L36"/>
    </row>
    <row r="37" spans="1:42" x14ac:dyDescent="0.2">
      <c r="A37" s="27" t="s">
        <v>15</v>
      </c>
      <c r="B37" s="28">
        <v>45644</v>
      </c>
      <c r="L37"/>
    </row>
    <row r="38" spans="1:42" x14ac:dyDescent="0.2">
      <c r="L38"/>
    </row>
    <row r="39" spans="1:42" s="9" customFormat="1" ht="409.6" x14ac:dyDescent="0.2">
      <c r="A39" s="6" t="s">
        <v>85</v>
      </c>
      <c r="B39" s="6" t="s">
        <v>18</v>
      </c>
      <c r="C39" s="6" t="s">
        <v>19</v>
      </c>
      <c r="D39" s="6" t="s">
        <v>21</v>
      </c>
      <c r="E39" s="6" t="s">
        <v>22</v>
      </c>
      <c r="F39" s="6" t="s">
        <v>23</v>
      </c>
      <c r="G39" s="6" t="s">
        <v>24</v>
      </c>
      <c r="H39" s="6" t="s">
        <v>25</v>
      </c>
      <c r="I39" s="6" t="s">
        <v>26</v>
      </c>
      <c r="J39" s="6" t="s">
        <v>27</v>
      </c>
      <c r="K39" s="8" t="s">
        <v>46</v>
      </c>
      <c r="L39" s="8" t="s">
        <v>47</v>
      </c>
      <c r="M39" s="6" t="s">
        <v>28</v>
      </c>
      <c r="N39" s="6" t="s">
        <v>48</v>
      </c>
      <c r="O39" s="6" t="s">
        <v>49</v>
      </c>
      <c r="P39" s="6" t="s">
        <v>29</v>
      </c>
      <c r="Q39" s="6" t="s">
        <v>50</v>
      </c>
      <c r="R39" s="6" t="s">
        <v>51</v>
      </c>
      <c r="S39" s="6" t="s">
        <v>30</v>
      </c>
      <c r="T39" s="6" t="s">
        <v>52</v>
      </c>
      <c r="U39" s="6" t="s">
        <v>53</v>
      </c>
      <c r="V39" s="6" t="s">
        <v>31</v>
      </c>
      <c r="W39" s="6" t="s">
        <v>54</v>
      </c>
      <c r="X39" s="6" t="s">
        <v>55</v>
      </c>
      <c r="Y39" s="6" t="s">
        <v>32</v>
      </c>
      <c r="Z39" s="6" t="s">
        <v>56</v>
      </c>
      <c r="AA39" s="6" t="s">
        <v>57</v>
      </c>
      <c r="AB39" s="6" t="s">
        <v>33</v>
      </c>
      <c r="AC39" s="21" t="s">
        <v>58</v>
      </c>
      <c r="AD39" s="21" t="s">
        <v>59</v>
      </c>
      <c r="AE39" s="6" t="s">
        <v>34</v>
      </c>
      <c r="AF39" s="6" t="s">
        <v>60</v>
      </c>
      <c r="AG39" s="6" t="s">
        <v>61</v>
      </c>
      <c r="AH39" s="6" t="s">
        <v>62</v>
      </c>
      <c r="AI39" s="6" t="s">
        <v>63</v>
      </c>
      <c r="AJ39" s="6" t="s">
        <v>64</v>
      </c>
      <c r="AK39" s="6" t="s">
        <v>65</v>
      </c>
      <c r="AL39" s="6" t="s">
        <v>66</v>
      </c>
      <c r="AM39" s="6" t="s">
        <v>67</v>
      </c>
      <c r="AN39" s="9" t="s">
        <v>68</v>
      </c>
      <c r="AO39" s="9" t="s">
        <v>69</v>
      </c>
      <c r="AP39" s="9" t="s">
        <v>70</v>
      </c>
    </row>
    <row r="40" spans="1:42" x14ac:dyDescent="0.2">
      <c r="A40" s="1" t="s">
        <v>86</v>
      </c>
      <c r="B40" s="11">
        <v>8549</v>
      </c>
      <c r="C40" s="11">
        <v>36601</v>
      </c>
      <c r="D40" s="11">
        <v>312905640</v>
      </c>
      <c r="E40" s="12">
        <v>0.95099999999999996</v>
      </c>
      <c r="F40" s="12">
        <v>0.41</v>
      </c>
      <c r="G40" s="12">
        <v>0.96</v>
      </c>
      <c r="H40" s="12">
        <v>0.94099999999999995</v>
      </c>
      <c r="I40" s="12">
        <v>0.95899999999999996</v>
      </c>
      <c r="J40" s="12">
        <v>0.96099999999999997</v>
      </c>
      <c r="K40" s="13">
        <v>0.47</v>
      </c>
      <c r="L40" s="13">
        <v>0.49099999999999999</v>
      </c>
      <c r="M40" s="12">
        <v>0.86899999999999999</v>
      </c>
      <c r="N40" s="12">
        <v>0.39700000000000002</v>
      </c>
      <c r="O40" s="12">
        <v>0.47199999999999998</v>
      </c>
      <c r="P40" s="12">
        <v>0.13400000000000001</v>
      </c>
      <c r="Q40" s="12">
        <v>0.10100000000000001</v>
      </c>
      <c r="R40" s="12">
        <v>3.3000000000000002E-2</v>
      </c>
      <c r="S40" s="12">
        <v>0.18099999999999999</v>
      </c>
      <c r="T40" s="12">
        <v>6.2E-2</v>
      </c>
      <c r="U40" s="12">
        <v>0.11899999999999999</v>
      </c>
      <c r="V40" s="12">
        <v>0.55300000000000005</v>
      </c>
      <c r="W40" s="12">
        <v>0.23300000000000001</v>
      </c>
      <c r="X40" s="12">
        <v>0.32</v>
      </c>
      <c r="Y40" s="12">
        <v>0.68400000000000005</v>
      </c>
      <c r="Z40" s="12">
        <v>0.27600000000000002</v>
      </c>
      <c r="AA40" s="12">
        <v>0.40799999999999997</v>
      </c>
      <c r="AB40" s="12">
        <v>4.7E-2</v>
      </c>
      <c r="AC40" s="23">
        <v>728</v>
      </c>
      <c r="AD40" s="22">
        <v>7834</v>
      </c>
      <c r="AE40" s="12">
        <v>0.873</v>
      </c>
      <c r="AF40" s="12">
        <v>0.75600000000000001</v>
      </c>
      <c r="AG40" s="12">
        <v>0.92800000000000005</v>
      </c>
      <c r="AH40" s="11">
        <v>3303</v>
      </c>
      <c r="AI40" s="11">
        <v>1948</v>
      </c>
      <c r="AJ40" s="11">
        <v>29433</v>
      </c>
      <c r="AK40" s="11">
        <v>23657</v>
      </c>
      <c r="AL40" s="11">
        <v>10851</v>
      </c>
      <c r="AM40" s="11">
        <v>6552</v>
      </c>
      <c r="AN40" s="15">
        <v>8549</v>
      </c>
      <c r="AO40">
        <v>882</v>
      </c>
      <c r="AP40" s="16">
        <v>0.10299999999999999</v>
      </c>
    </row>
    <row r="41" spans="1:42" x14ac:dyDescent="0.2">
      <c r="A41" s="1" t="s">
        <v>87</v>
      </c>
      <c r="B41" s="11">
        <v>10020</v>
      </c>
      <c r="C41" s="11">
        <v>33371</v>
      </c>
      <c r="D41" s="11">
        <v>334376300</v>
      </c>
      <c r="E41" s="12">
        <v>0.95399999999999996</v>
      </c>
      <c r="F41" s="12">
        <v>0.42899999999999999</v>
      </c>
      <c r="G41" s="12">
        <v>0.96199999999999997</v>
      </c>
      <c r="H41" s="12">
        <v>0.94299999999999995</v>
      </c>
      <c r="I41" s="12">
        <v>0.96099999999999997</v>
      </c>
      <c r="J41" s="12">
        <v>0.95899999999999996</v>
      </c>
      <c r="K41" s="13">
        <v>0.39100000000000001</v>
      </c>
      <c r="L41" s="13">
        <v>0.56799999999999995</v>
      </c>
      <c r="M41" s="12">
        <v>0.873</v>
      </c>
      <c r="N41" s="12">
        <v>0.32700000000000001</v>
      </c>
      <c r="O41" s="12">
        <v>0.54600000000000004</v>
      </c>
      <c r="P41" s="12">
        <v>8.6999999999999994E-2</v>
      </c>
      <c r="Q41" s="12">
        <v>0.05</v>
      </c>
      <c r="R41" s="12">
        <v>3.6999999999999998E-2</v>
      </c>
      <c r="S41" s="12">
        <v>0.2</v>
      </c>
      <c r="T41" s="12">
        <v>6.5000000000000002E-2</v>
      </c>
      <c r="U41" s="12">
        <v>0.13400000000000001</v>
      </c>
      <c r="V41" s="12">
        <v>0.58599999999999997</v>
      </c>
      <c r="W41" s="12">
        <v>0.21099999999999999</v>
      </c>
      <c r="X41" s="12">
        <v>0.375</v>
      </c>
      <c r="Y41" s="12">
        <v>0.72899999999999998</v>
      </c>
      <c r="Z41" s="12">
        <v>0.254</v>
      </c>
      <c r="AA41" s="12">
        <v>0.47399999999999998</v>
      </c>
      <c r="AB41" s="12">
        <v>5.2999999999999999E-2</v>
      </c>
      <c r="AC41" s="23">
        <v>697</v>
      </c>
      <c r="AD41" s="22">
        <v>9370</v>
      </c>
      <c r="AE41" s="12">
        <v>0.90900000000000003</v>
      </c>
      <c r="AF41" s="12">
        <v>0.83499999999999996</v>
      </c>
      <c r="AG41" s="12">
        <v>0.92900000000000005</v>
      </c>
      <c r="AH41" s="11">
        <v>7346</v>
      </c>
      <c r="AI41" s="11">
        <v>1849</v>
      </c>
      <c r="AJ41" s="11">
        <v>29649</v>
      </c>
      <c r="AK41" s="11">
        <v>24408</v>
      </c>
      <c r="AL41" s="11">
        <v>43499</v>
      </c>
      <c r="AM41" s="11">
        <v>6628</v>
      </c>
      <c r="AN41" s="15">
        <v>10020</v>
      </c>
      <c r="AO41" s="15">
        <v>2125</v>
      </c>
      <c r="AP41" s="16">
        <v>0.21199999999999999</v>
      </c>
    </row>
    <row r="42" spans="1:42" x14ac:dyDescent="0.2">
      <c r="A42" s="1" t="s">
        <v>88</v>
      </c>
      <c r="B42" s="11">
        <v>10242</v>
      </c>
      <c r="C42" s="11">
        <v>28869</v>
      </c>
      <c r="D42" s="11">
        <v>295678425</v>
      </c>
      <c r="E42" s="12">
        <v>0.95</v>
      </c>
      <c r="F42" s="12">
        <v>0.40600000000000003</v>
      </c>
      <c r="G42" s="12">
        <v>0.96099999999999997</v>
      </c>
      <c r="H42" s="12">
        <v>0.94299999999999995</v>
      </c>
      <c r="I42" s="12">
        <v>0.96</v>
      </c>
      <c r="J42" s="12">
        <v>0.95699999999999996</v>
      </c>
      <c r="K42" s="13">
        <v>0.29199999999999998</v>
      </c>
      <c r="L42" s="13">
        <v>0.66600000000000004</v>
      </c>
      <c r="M42" s="12">
        <v>0.86499999999999999</v>
      </c>
      <c r="N42" s="12">
        <v>0.22500000000000001</v>
      </c>
      <c r="O42" s="12">
        <v>0.64</v>
      </c>
      <c r="P42" s="12">
        <v>0.123</v>
      </c>
      <c r="Q42" s="12">
        <v>6.5000000000000002E-2</v>
      </c>
      <c r="R42" s="12">
        <v>5.8000000000000003E-2</v>
      </c>
      <c r="S42" s="12">
        <v>0.20100000000000001</v>
      </c>
      <c r="T42" s="12">
        <v>3.5000000000000003E-2</v>
      </c>
      <c r="U42" s="12">
        <v>0.16600000000000001</v>
      </c>
      <c r="V42" s="12">
        <v>0.54100000000000004</v>
      </c>
      <c r="W42" s="12">
        <v>0.125</v>
      </c>
      <c r="X42" s="12">
        <v>0.41599999999999998</v>
      </c>
      <c r="Y42" s="12">
        <v>0.68600000000000005</v>
      </c>
      <c r="Z42" s="12">
        <v>0.14899999999999999</v>
      </c>
      <c r="AA42" s="12">
        <v>0.53700000000000003</v>
      </c>
      <c r="AB42" s="12">
        <v>5.2999999999999999E-2</v>
      </c>
      <c r="AC42" s="23">
        <v>414</v>
      </c>
      <c r="AD42" s="22">
        <v>9839</v>
      </c>
      <c r="AE42" s="12">
        <v>0.88300000000000001</v>
      </c>
      <c r="AF42" s="12">
        <v>0.72599999999999998</v>
      </c>
      <c r="AG42" s="12">
        <v>0.90700000000000003</v>
      </c>
      <c r="AH42" s="11">
        <v>1886</v>
      </c>
      <c r="AI42" s="11">
        <v>2289</v>
      </c>
      <c r="AJ42" s="11">
        <v>27914</v>
      </c>
      <c r="AK42" s="11">
        <v>25492</v>
      </c>
      <c r="AL42" s="11">
        <v>5029</v>
      </c>
      <c r="AM42" s="11">
        <v>6990</v>
      </c>
      <c r="AN42" s="15">
        <v>10242</v>
      </c>
      <c r="AO42" s="15">
        <v>3463</v>
      </c>
      <c r="AP42" s="16">
        <v>0.33800000000000002</v>
      </c>
    </row>
    <row r="43" spans="1:42" x14ac:dyDescent="0.2">
      <c r="A43" s="1" t="s">
        <v>89</v>
      </c>
      <c r="B43" s="11">
        <v>10819</v>
      </c>
      <c r="C43" s="11">
        <v>32285</v>
      </c>
      <c r="D43" s="11">
        <v>349292868</v>
      </c>
      <c r="E43" s="12">
        <v>0.93799999999999994</v>
      </c>
      <c r="F43" s="12">
        <v>0.34100000000000003</v>
      </c>
      <c r="G43" s="12">
        <v>0.96399999999999997</v>
      </c>
      <c r="H43" s="12">
        <v>0.94099999999999995</v>
      </c>
      <c r="I43" s="12">
        <v>0.96299999999999997</v>
      </c>
      <c r="J43" s="12">
        <v>0.96099999999999997</v>
      </c>
      <c r="K43" s="13">
        <v>0.52</v>
      </c>
      <c r="L43" s="13">
        <v>0.441</v>
      </c>
      <c r="M43" s="12">
        <v>0.84899999999999998</v>
      </c>
      <c r="N43" s="12">
        <v>0.42699999999999999</v>
      </c>
      <c r="O43" s="12">
        <v>0.42099999999999999</v>
      </c>
      <c r="P43" s="12">
        <v>0.11799999999999999</v>
      </c>
      <c r="Q43" s="12">
        <v>8.5999999999999993E-2</v>
      </c>
      <c r="R43" s="12">
        <v>3.3000000000000002E-2</v>
      </c>
      <c r="S43" s="12">
        <v>0.182</v>
      </c>
      <c r="T43" s="12">
        <v>8.3000000000000004E-2</v>
      </c>
      <c r="U43" s="12">
        <v>9.9000000000000005E-2</v>
      </c>
      <c r="V43" s="12">
        <v>0.54800000000000004</v>
      </c>
      <c r="W43" s="12">
        <v>0.25800000000000001</v>
      </c>
      <c r="X43" s="12">
        <v>0.28999999999999998</v>
      </c>
      <c r="Y43" s="12">
        <v>0.67600000000000005</v>
      </c>
      <c r="Z43" s="12">
        <v>0.315</v>
      </c>
      <c r="AA43" s="12">
        <v>0.36199999999999999</v>
      </c>
      <c r="AB43" s="12">
        <v>0.05</v>
      </c>
      <c r="AC43" s="22">
        <v>1254</v>
      </c>
      <c r="AD43" s="22">
        <v>9574</v>
      </c>
      <c r="AE43" s="12">
        <v>0.85099999999999998</v>
      </c>
      <c r="AF43" s="12">
        <v>0.76</v>
      </c>
      <c r="AG43" s="12">
        <v>0.89500000000000002</v>
      </c>
      <c r="AH43" s="11">
        <v>7592</v>
      </c>
      <c r="AI43" s="11">
        <v>1775</v>
      </c>
      <c r="AJ43" s="11">
        <v>30892</v>
      </c>
      <c r="AK43" s="11">
        <v>25296</v>
      </c>
      <c r="AL43" s="11">
        <v>36570</v>
      </c>
      <c r="AM43" s="11">
        <v>4751</v>
      </c>
      <c r="AN43" s="15">
        <v>10819</v>
      </c>
      <c r="AO43">
        <v>882</v>
      </c>
      <c r="AP43" s="16">
        <v>8.2000000000000003E-2</v>
      </c>
    </row>
    <row r="44" spans="1:42" x14ac:dyDescent="0.2">
      <c r="A44" s="1" t="s">
        <v>90</v>
      </c>
      <c r="B44" s="11">
        <v>10068</v>
      </c>
      <c r="C44" s="11">
        <v>43051</v>
      </c>
      <c r="D44" s="11">
        <v>433436603</v>
      </c>
      <c r="E44" s="12">
        <v>0.93799999999999994</v>
      </c>
      <c r="F44" s="12">
        <v>0.48099999999999998</v>
      </c>
      <c r="G44" s="12">
        <v>0.95899999999999996</v>
      </c>
      <c r="H44" s="12">
        <v>0.93899999999999995</v>
      </c>
      <c r="I44" s="12">
        <v>0.95699999999999996</v>
      </c>
      <c r="J44" s="12">
        <v>0.95799999999999996</v>
      </c>
      <c r="K44" s="13">
        <v>0.308</v>
      </c>
      <c r="L44" s="13">
        <v>0.65</v>
      </c>
      <c r="M44" s="12">
        <v>0.84299999999999997</v>
      </c>
      <c r="N44" s="12">
        <v>0.22</v>
      </c>
      <c r="O44" s="12">
        <v>0.624</v>
      </c>
      <c r="P44" s="12">
        <v>0.16200000000000001</v>
      </c>
      <c r="Q44" s="12">
        <v>9.5000000000000001E-2</v>
      </c>
      <c r="R44" s="12">
        <v>6.7000000000000004E-2</v>
      </c>
      <c r="S44" s="12">
        <v>0.186</v>
      </c>
      <c r="T44" s="12">
        <v>2.1999999999999999E-2</v>
      </c>
      <c r="U44" s="12">
        <v>0.16400000000000001</v>
      </c>
      <c r="V44" s="12">
        <v>0.495</v>
      </c>
      <c r="W44" s="12">
        <v>0.10299999999999999</v>
      </c>
      <c r="X44" s="12">
        <v>0.39200000000000002</v>
      </c>
      <c r="Y44" s="12">
        <v>0.625</v>
      </c>
      <c r="Z44" s="12">
        <v>0.11799999999999999</v>
      </c>
      <c r="AA44" s="12">
        <v>0.50700000000000001</v>
      </c>
      <c r="AB44" s="12">
        <v>5.3999999999999999E-2</v>
      </c>
      <c r="AC44" s="23">
        <v>513</v>
      </c>
      <c r="AD44" s="22">
        <v>9561</v>
      </c>
      <c r="AE44" s="12">
        <v>0.91500000000000004</v>
      </c>
      <c r="AF44" s="12">
        <v>0.67700000000000005</v>
      </c>
      <c r="AG44" s="12">
        <v>0.94499999999999995</v>
      </c>
      <c r="AH44" s="11">
        <v>1651</v>
      </c>
      <c r="AI44" s="11">
        <v>2635</v>
      </c>
      <c r="AJ44" s="11">
        <v>27915</v>
      </c>
      <c r="AK44" s="11">
        <v>25789</v>
      </c>
      <c r="AL44" s="11">
        <v>5100</v>
      </c>
      <c r="AM44" s="11">
        <v>9201</v>
      </c>
      <c r="AN44" s="15">
        <v>10068</v>
      </c>
      <c r="AO44" s="15">
        <v>8168</v>
      </c>
      <c r="AP44" s="16">
        <v>0.81100000000000005</v>
      </c>
    </row>
    <row r="45" spans="1:42" x14ac:dyDescent="0.2">
      <c r="A45" s="1" t="s">
        <v>91</v>
      </c>
      <c r="B45" s="11">
        <v>12417</v>
      </c>
      <c r="C45" s="11">
        <v>44312</v>
      </c>
      <c r="D45" s="11">
        <v>550226101</v>
      </c>
      <c r="E45" s="12">
        <v>0.93500000000000005</v>
      </c>
      <c r="F45" s="12">
        <v>0.34799999999999998</v>
      </c>
      <c r="G45" s="12">
        <v>0.96099999999999997</v>
      </c>
      <c r="H45" s="12">
        <v>0.93899999999999995</v>
      </c>
      <c r="I45" s="12">
        <v>0.96</v>
      </c>
      <c r="J45" s="12">
        <v>0.96199999999999997</v>
      </c>
      <c r="K45" s="13">
        <v>0.64800000000000002</v>
      </c>
      <c r="L45" s="13">
        <v>0.314</v>
      </c>
      <c r="M45" s="12">
        <v>0.84</v>
      </c>
      <c r="N45" s="12">
        <v>0.54200000000000004</v>
      </c>
      <c r="O45" s="12">
        <v>0.29799999999999999</v>
      </c>
      <c r="P45" s="12">
        <v>0.1</v>
      </c>
      <c r="Q45" s="12">
        <v>7.5999999999999998E-2</v>
      </c>
      <c r="R45" s="12">
        <v>2.5000000000000001E-2</v>
      </c>
      <c r="S45" s="12">
        <v>0.151</v>
      </c>
      <c r="T45" s="12">
        <v>8.3000000000000004E-2</v>
      </c>
      <c r="U45" s="12">
        <v>6.7000000000000004E-2</v>
      </c>
      <c r="V45" s="12">
        <v>0.58799999999999997</v>
      </c>
      <c r="W45" s="12">
        <v>0.38300000000000001</v>
      </c>
      <c r="X45" s="12">
        <v>0.20499999999999999</v>
      </c>
      <c r="Y45" s="12">
        <v>0.69199999999999995</v>
      </c>
      <c r="Z45" s="12">
        <v>0.439</v>
      </c>
      <c r="AA45" s="12">
        <v>0.253</v>
      </c>
      <c r="AB45" s="12">
        <v>4.2999999999999997E-2</v>
      </c>
      <c r="AC45" s="22">
        <v>3299</v>
      </c>
      <c r="AD45" s="22">
        <v>9297</v>
      </c>
      <c r="AE45" s="12">
        <v>0.83499999999999996</v>
      </c>
      <c r="AF45" s="12">
        <v>0.76800000000000002</v>
      </c>
      <c r="AG45" s="12">
        <v>0.86899999999999999</v>
      </c>
      <c r="AH45" s="11">
        <v>5183</v>
      </c>
      <c r="AI45" s="11">
        <v>2235</v>
      </c>
      <c r="AJ45" s="11">
        <v>31713</v>
      </c>
      <c r="AK45" s="11">
        <v>25069</v>
      </c>
      <c r="AL45" s="11">
        <v>19618</v>
      </c>
      <c r="AM45" s="11">
        <v>6250</v>
      </c>
      <c r="AN45" s="15">
        <v>12417</v>
      </c>
      <c r="AO45" s="15">
        <v>5814</v>
      </c>
      <c r="AP45" s="16">
        <v>0.46800000000000003</v>
      </c>
    </row>
    <row r="46" spans="1:42" x14ac:dyDescent="0.2">
      <c r="A46" s="1" t="s">
        <v>92</v>
      </c>
      <c r="B46" s="11">
        <v>12500</v>
      </c>
      <c r="C46" s="11">
        <v>31514</v>
      </c>
      <c r="D46" s="11">
        <v>393920434</v>
      </c>
      <c r="E46" s="12">
        <v>0.96499999999999997</v>
      </c>
      <c r="F46" s="12">
        <v>0.443</v>
      </c>
      <c r="G46" s="12">
        <v>0.96399999999999997</v>
      </c>
      <c r="H46" s="12">
        <v>0.94899999999999995</v>
      </c>
      <c r="I46" s="12">
        <v>0.96299999999999997</v>
      </c>
      <c r="J46" s="12">
        <v>0.95599999999999996</v>
      </c>
      <c r="K46" s="13">
        <v>2.1999999999999999E-2</v>
      </c>
      <c r="L46" s="13">
        <v>0.93500000000000005</v>
      </c>
      <c r="M46" s="12">
        <v>0.89900000000000002</v>
      </c>
      <c r="N46" s="12">
        <v>1E-3</v>
      </c>
      <c r="O46" s="12">
        <v>0.89800000000000002</v>
      </c>
      <c r="P46" s="12">
        <v>0.05</v>
      </c>
      <c r="Q46" s="12">
        <v>0</v>
      </c>
      <c r="R46" s="12">
        <v>0.05</v>
      </c>
      <c r="S46" s="12">
        <v>0.13400000000000001</v>
      </c>
      <c r="T46" s="12">
        <v>0</v>
      </c>
      <c r="U46" s="12">
        <v>0.13400000000000001</v>
      </c>
      <c r="V46" s="12">
        <v>0.71499999999999997</v>
      </c>
      <c r="W46" s="12">
        <v>1E-3</v>
      </c>
      <c r="X46" s="12">
        <v>0.71499999999999997</v>
      </c>
      <c r="Y46" s="12">
        <v>0.81200000000000006</v>
      </c>
      <c r="Z46" s="12">
        <v>0</v>
      </c>
      <c r="AA46" s="12">
        <v>0.81200000000000006</v>
      </c>
      <c r="AB46" s="12">
        <v>3.5000000000000003E-2</v>
      </c>
      <c r="AC46" s="22">
        <v>7631</v>
      </c>
      <c r="AD46" s="22">
        <v>9497</v>
      </c>
      <c r="AE46" s="12">
        <v>0.97</v>
      </c>
      <c r="AF46" s="12">
        <v>0.78</v>
      </c>
      <c r="AG46" s="12">
        <v>0.88300000000000001</v>
      </c>
      <c r="AH46" s="1">
        <v>3</v>
      </c>
      <c r="AI46" s="11">
        <v>2478</v>
      </c>
      <c r="AJ46" s="11">
        <v>2894</v>
      </c>
      <c r="AK46" s="11">
        <v>24844</v>
      </c>
      <c r="AL46" s="1">
        <v>3</v>
      </c>
      <c r="AM46" s="11">
        <v>10214</v>
      </c>
      <c r="AN46" s="15">
        <v>12500</v>
      </c>
      <c r="AO46">
        <v>0</v>
      </c>
      <c r="AP46" s="16">
        <v>0</v>
      </c>
    </row>
    <row r="47" spans="1:42" x14ac:dyDescent="0.2">
      <c r="A47" s="1" t="s">
        <v>93</v>
      </c>
      <c r="B47" s="11">
        <v>11494</v>
      </c>
      <c r="C47" s="11">
        <v>34037</v>
      </c>
      <c r="D47" s="11">
        <v>391219659</v>
      </c>
      <c r="E47" s="12">
        <v>0.95899999999999996</v>
      </c>
      <c r="F47" s="12">
        <v>0.52500000000000002</v>
      </c>
      <c r="G47" s="12">
        <v>0.96199999999999997</v>
      </c>
      <c r="H47" s="12">
        <v>0.94699999999999995</v>
      </c>
      <c r="I47" s="12">
        <v>0.96</v>
      </c>
      <c r="J47" s="12">
        <v>0.96199999999999997</v>
      </c>
      <c r="K47" s="13">
        <v>0.41099999999999998</v>
      </c>
      <c r="L47" s="13">
        <v>0.55100000000000005</v>
      </c>
      <c r="M47" s="12">
        <v>0.90300000000000002</v>
      </c>
      <c r="N47" s="12">
        <v>0.374</v>
      </c>
      <c r="O47" s="12">
        <v>0.52800000000000002</v>
      </c>
      <c r="P47" s="12">
        <v>9.9000000000000005E-2</v>
      </c>
      <c r="Q47" s="12">
        <v>6.5000000000000002E-2</v>
      </c>
      <c r="R47" s="12">
        <v>3.4000000000000002E-2</v>
      </c>
      <c r="S47" s="12">
        <v>0.16600000000000001</v>
      </c>
      <c r="T47" s="12">
        <v>5.2999999999999999E-2</v>
      </c>
      <c r="U47" s="12">
        <v>0.113</v>
      </c>
      <c r="V47" s="12">
        <v>0.63800000000000001</v>
      </c>
      <c r="W47" s="12">
        <v>0.25700000000000001</v>
      </c>
      <c r="X47" s="12">
        <v>0.38100000000000001</v>
      </c>
      <c r="Y47" s="12">
        <v>0.754</v>
      </c>
      <c r="Z47" s="12">
        <v>0.29099999999999998</v>
      </c>
      <c r="AA47" s="12">
        <v>0.46400000000000002</v>
      </c>
      <c r="AB47" s="12">
        <v>4.5999999999999999E-2</v>
      </c>
      <c r="AC47" s="22">
        <v>1202</v>
      </c>
      <c r="AD47" s="22">
        <v>10312</v>
      </c>
      <c r="AE47" s="12">
        <v>0.94</v>
      </c>
      <c r="AF47" s="12">
        <v>0.89200000000000002</v>
      </c>
      <c r="AG47" s="12">
        <v>0.95199999999999996</v>
      </c>
      <c r="AH47" s="1">
        <v>380</v>
      </c>
      <c r="AI47" s="11">
        <v>1709</v>
      </c>
      <c r="AJ47" s="11">
        <v>29832</v>
      </c>
      <c r="AK47" s="11">
        <v>24562</v>
      </c>
      <c r="AL47" s="11">
        <v>1942</v>
      </c>
      <c r="AM47" s="11">
        <v>5378</v>
      </c>
      <c r="AN47" s="15">
        <v>11494</v>
      </c>
      <c r="AO47" s="15">
        <v>1828</v>
      </c>
      <c r="AP47" s="16">
        <v>0.159</v>
      </c>
    </row>
    <row r="48" spans="1:42" x14ac:dyDescent="0.2">
      <c r="A48" s="1" t="s">
        <v>94</v>
      </c>
      <c r="B48" s="11">
        <v>7521</v>
      </c>
      <c r="C48" s="11">
        <v>48284</v>
      </c>
      <c r="D48" s="11">
        <v>363146999</v>
      </c>
      <c r="E48" s="12">
        <v>0.96299999999999997</v>
      </c>
      <c r="F48" s="12">
        <v>0.49399999999999999</v>
      </c>
      <c r="G48" s="12">
        <v>0.96199999999999997</v>
      </c>
      <c r="H48" s="12">
        <v>0.94799999999999995</v>
      </c>
      <c r="I48" s="12">
        <v>0.96</v>
      </c>
      <c r="J48" s="12">
        <v>0.96699999999999997</v>
      </c>
      <c r="K48" s="13">
        <v>0.56599999999999995</v>
      </c>
      <c r="L48" s="13">
        <v>0.40100000000000002</v>
      </c>
      <c r="M48" s="12">
        <v>0.90800000000000003</v>
      </c>
      <c r="N48" s="12">
        <v>0.52200000000000002</v>
      </c>
      <c r="O48" s="12">
        <v>0.38500000000000001</v>
      </c>
      <c r="P48" s="12">
        <v>6.7000000000000004E-2</v>
      </c>
      <c r="Q48" s="12">
        <v>4.3999999999999997E-2</v>
      </c>
      <c r="R48" s="12">
        <v>2.3E-2</v>
      </c>
      <c r="S48" s="12">
        <v>0.17100000000000001</v>
      </c>
      <c r="T48" s="12">
        <v>9.2999999999999999E-2</v>
      </c>
      <c r="U48" s="12">
        <v>7.8E-2</v>
      </c>
      <c r="V48" s="12">
        <v>0.67</v>
      </c>
      <c r="W48" s="12">
        <v>0.38500000000000001</v>
      </c>
      <c r="X48" s="12">
        <v>0.28499999999999998</v>
      </c>
      <c r="Y48" s="12">
        <v>0.79200000000000004</v>
      </c>
      <c r="Z48" s="12">
        <v>0.44800000000000001</v>
      </c>
      <c r="AA48" s="12">
        <v>0.34399999999999997</v>
      </c>
      <c r="AB48" s="12">
        <v>4.3999999999999997E-2</v>
      </c>
      <c r="AC48" s="22">
        <v>1359</v>
      </c>
      <c r="AD48" s="22">
        <v>6192</v>
      </c>
      <c r="AE48" s="12">
        <v>0.93799999999999994</v>
      </c>
      <c r="AF48" s="12">
        <v>0.91400000000000003</v>
      </c>
      <c r="AG48" s="12">
        <v>0.94799999999999995</v>
      </c>
      <c r="AH48" s="11">
        <v>8199</v>
      </c>
      <c r="AI48" s="11">
        <v>2080</v>
      </c>
      <c r="AJ48" s="11">
        <v>30421</v>
      </c>
      <c r="AK48" s="11">
        <v>23743</v>
      </c>
      <c r="AL48" s="11">
        <v>54038</v>
      </c>
      <c r="AM48" s="11">
        <v>6672</v>
      </c>
      <c r="AN48" s="15">
        <v>7521</v>
      </c>
      <c r="AO48">
        <v>470</v>
      </c>
      <c r="AP48" s="16">
        <v>6.2E-2</v>
      </c>
    </row>
    <row r="49" spans="1:42" x14ac:dyDescent="0.2">
      <c r="A49" s="1" t="s">
        <v>95</v>
      </c>
      <c r="B49" s="15">
        <v>11709</v>
      </c>
      <c r="C49" s="15">
        <v>38118</v>
      </c>
      <c r="D49" s="15">
        <v>446322377</v>
      </c>
      <c r="E49" s="16">
        <v>0.96199999999999997</v>
      </c>
      <c r="F49" s="16">
        <v>0.46500000000000002</v>
      </c>
      <c r="G49" s="16">
        <v>0.96499999999999997</v>
      </c>
      <c r="H49" s="16">
        <v>0.94699999999999995</v>
      </c>
      <c r="I49" s="16">
        <v>0.96299999999999997</v>
      </c>
      <c r="J49" s="16">
        <v>0.96699999999999997</v>
      </c>
      <c r="K49" s="16">
        <v>1.7000000000000001E-2</v>
      </c>
      <c r="L49" s="16">
        <v>0.95</v>
      </c>
      <c r="M49" s="16">
        <v>0.91700000000000004</v>
      </c>
      <c r="N49" s="16">
        <v>0</v>
      </c>
      <c r="O49" s="16">
        <v>0.91700000000000004</v>
      </c>
      <c r="P49" s="16">
        <v>4.2000000000000003E-2</v>
      </c>
      <c r="Q49" s="16">
        <v>0</v>
      </c>
      <c r="R49" s="16">
        <v>4.2000000000000003E-2</v>
      </c>
      <c r="S49" s="16">
        <v>0.11700000000000001</v>
      </c>
      <c r="T49" s="16">
        <v>0</v>
      </c>
      <c r="U49" s="16">
        <v>0.11600000000000001</v>
      </c>
      <c r="V49" s="16">
        <v>0.75900000000000001</v>
      </c>
      <c r="W49" s="16">
        <v>0</v>
      </c>
      <c r="X49" s="16">
        <v>0.75900000000000001</v>
      </c>
      <c r="Y49" s="16">
        <v>0.84199999999999997</v>
      </c>
      <c r="Z49" s="16">
        <v>0</v>
      </c>
      <c r="AA49" s="16">
        <v>0.84199999999999997</v>
      </c>
      <c r="AB49" s="16">
        <v>3.1E-2</v>
      </c>
      <c r="AC49" s="29">
        <v>7927</v>
      </c>
      <c r="AD49" s="29">
        <v>9152</v>
      </c>
      <c r="AE49" s="16">
        <v>0.96899999999999997</v>
      </c>
      <c r="AF49" s="16">
        <v>0.83499999999999996</v>
      </c>
      <c r="AG49" s="16">
        <v>0.91500000000000004</v>
      </c>
      <c r="AH49">
        <v>3</v>
      </c>
      <c r="AI49" s="15">
        <v>2992</v>
      </c>
      <c r="AJ49" s="15">
        <v>3597</v>
      </c>
      <c r="AK49" s="15">
        <v>24212</v>
      </c>
      <c r="AL49">
        <v>3</v>
      </c>
      <c r="AM49" s="15">
        <v>13634</v>
      </c>
      <c r="AN49" s="15">
        <v>11709</v>
      </c>
      <c r="AO49">
        <v>0</v>
      </c>
      <c r="AP49" s="16">
        <v>0</v>
      </c>
    </row>
    <row r="50" spans="1:42" x14ac:dyDescent="0.2">
      <c r="A50" s="1" t="s">
        <v>96</v>
      </c>
      <c r="B50" s="11">
        <v>25300</v>
      </c>
      <c r="C50" s="11">
        <v>23679</v>
      </c>
      <c r="D50" s="11">
        <v>599067945</v>
      </c>
      <c r="E50" s="12">
        <v>0.95</v>
      </c>
      <c r="F50" s="12">
        <v>0.29899999999999999</v>
      </c>
      <c r="G50" s="12">
        <v>0.96699999999999997</v>
      </c>
      <c r="H50" s="12">
        <v>0.95499999999999996</v>
      </c>
      <c r="I50" s="12">
        <v>0.96599999999999997</v>
      </c>
      <c r="J50" s="12">
        <v>0.97799999999999998</v>
      </c>
      <c r="K50" s="13">
        <v>0.97599999999999998</v>
      </c>
      <c r="L50" s="13">
        <v>2E-3</v>
      </c>
      <c r="M50" s="12">
        <v>0.93600000000000005</v>
      </c>
      <c r="N50" s="12">
        <v>0.93600000000000005</v>
      </c>
      <c r="O50" s="12">
        <v>0</v>
      </c>
      <c r="P50" s="12">
        <v>3.4000000000000002E-2</v>
      </c>
      <c r="Q50" s="12">
        <v>3.4000000000000002E-2</v>
      </c>
      <c r="R50" s="12">
        <v>0</v>
      </c>
      <c r="S50" s="12">
        <v>0.151</v>
      </c>
      <c r="T50" s="12">
        <v>0.151</v>
      </c>
      <c r="U50" s="12">
        <v>0</v>
      </c>
      <c r="V50" s="12">
        <v>0.752</v>
      </c>
      <c r="W50" s="12">
        <v>0.752</v>
      </c>
      <c r="X50" s="12">
        <v>0</v>
      </c>
      <c r="Y50" s="12">
        <v>0.85299999999999998</v>
      </c>
      <c r="Z50" s="12">
        <v>0.85199999999999998</v>
      </c>
      <c r="AA50" s="12">
        <v>0</v>
      </c>
      <c r="AB50" s="12">
        <v>4.5999999999999999E-2</v>
      </c>
      <c r="AC50" s="30">
        <v>17363</v>
      </c>
      <c r="AD50" s="30">
        <v>22451</v>
      </c>
      <c r="AE50" s="12">
        <v>0.97199999999999998</v>
      </c>
      <c r="AF50" s="12">
        <v>0.97</v>
      </c>
      <c r="AG50" s="12">
        <v>1</v>
      </c>
      <c r="AH50" s="11">
        <v>4978</v>
      </c>
      <c r="AI50" s="1">
        <v>1</v>
      </c>
      <c r="AJ50" s="11">
        <v>32259</v>
      </c>
      <c r="AK50" s="11">
        <v>3889</v>
      </c>
      <c r="AL50" s="11">
        <v>18245</v>
      </c>
      <c r="AM50" s="31">
        <v>1</v>
      </c>
      <c r="AN50" s="32">
        <v>25300</v>
      </c>
      <c r="AO50" s="3">
        <v>0</v>
      </c>
      <c r="AP50" s="33">
        <v>0</v>
      </c>
    </row>
    <row r="51" spans="1:42" x14ac:dyDescent="0.2">
      <c r="A51" s="1" t="s">
        <v>97</v>
      </c>
      <c r="B51" s="11">
        <v>26947</v>
      </c>
      <c r="C51" s="11">
        <v>21109</v>
      </c>
      <c r="D51" s="11">
        <v>568814783</v>
      </c>
      <c r="E51" s="12">
        <v>0.96099999999999997</v>
      </c>
      <c r="F51" s="12">
        <v>0.28399999999999997</v>
      </c>
      <c r="G51" s="12">
        <v>0.96799999999999997</v>
      </c>
      <c r="H51" s="12">
        <v>0.95099999999999996</v>
      </c>
      <c r="I51" s="12">
        <v>0.96599999999999997</v>
      </c>
      <c r="J51" s="12">
        <v>0.97199999999999998</v>
      </c>
      <c r="K51" s="13">
        <v>0.97</v>
      </c>
      <c r="L51" s="13">
        <v>2E-3</v>
      </c>
      <c r="M51" s="12">
        <v>0.93300000000000005</v>
      </c>
      <c r="N51" s="12">
        <v>0.93200000000000005</v>
      </c>
      <c r="O51" s="12">
        <v>0</v>
      </c>
      <c r="P51" s="12">
        <v>4.2000000000000003E-2</v>
      </c>
      <c r="Q51" s="12">
        <v>4.1000000000000002E-2</v>
      </c>
      <c r="R51" s="12">
        <v>0</v>
      </c>
      <c r="S51" s="12">
        <v>0.16400000000000001</v>
      </c>
      <c r="T51" s="12">
        <v>0.16400000000000001</v>
      </c>
      <c r="U51" s="12">
        <v>0</v>
      </c>
      <c r="V51" s="12">
        <v>0.72699999999999998</v>
      </c>
      <c r="W51" s="12">
        <v>0.72699999999999998</v>
      </c>
      <c r="X51" s="12">
        <v>0</v>
      </c>
      <c r="Y51" s="12">
        <v>0.84199999999999997</v>
      </c>
      <c r="Z51" s="12">
        <v>0.84199999999999997</v>
      </c>
      <c r="AA51" s="12">
        <v>0</v>
      </c>
      <c r="AB51" s="12">
        <v>4.3999999999999997E-2</v>
      </c>
      <c r="AC51" s="30">
        <v>13264</v>
      </c>
      <c r="AD51" s="30">
        <v>25878</v>
      </c>
      <c r="AE51" s="12">
        <v>0.95699999999999996</v>
      </c>
      <c r="AF51" s="12">
        <v>0.95199999999999996</v>
      </c>
      <c r="AG51" s="12">
        <v>1</v>
      </c>
      <c r="AH51" s="11">
        <v>5771</v>
      </c>
      <c r="AI51" s="1">
        <v>1</v>
      </c>
      <c r="AJ51" s="11">
        <v>32798</v>
      </c>
      <c r="AK51" s="11">
        <v>5198</v>
      </c>
      <c r="AL51" s="11">
        <v>22686</v>
      </c>
      <c r="AM51" s="1">
        <v>1</v>
      </c>
      <c r="AN51" s="32">
        <v>26947</v>
      </c>
      <c r="AO51" s="32">
        <v>26947</v>
      </c>
      <c r="AP51" s="33">
        <v>1</v>
      </c>
    </row>
    <row r="52" spans="1:42" x14ac:dyDescent="0.2">
      <c r="L52"/>
    </row>
    <row r="53" spans="1:42" x14ac:dyDescent="0.2">
      <c r="L53"/>
    </row>
    <row r="54" spans="1:42" x14ac:dyDescent="0.2">
      <c r="L54"/>
    </row>
    <row r="55" spans="1:42" x14ac:dyDescent="0.2">
      <c r="L55"/>
    </row>
    <row r="56" spans="1:42" x14ac:dyDescent="0.2">
      <c r="L56"/>
    </row>
    <row r="57" spans="1:42" x14ac:dyDescent="0.2">
      <c r="L57"/>
    </row>
    <row r="58" spans="1:42" x14ac:dyDescent="0.2">
      <c r="L58"/>
    </row>
    <row r="59" spans="1:42" x14ac:dyDescent="0.2">
      <c r="L59"/>
    </row>
    <row r="60" spans="1:42" x14ac:dyDescent="0.2">
      <c r="L60"/>
    </row>
    <row r="61" spans="1:42" x14ac:dyDescent="0.2">
      <c r="L61"/>
    </row>
    <row r="62" spans="1:42" x14ac:dyDescent="0.2">
      <c r="L62"/>
    </row>
    <row r="63" spans="1:42" x14ac:dyDescent="0.2">
      <c r="L63"/>
    </row>
    <row r="64" spans="1:42" x14ac:dyDescent="0.2">
      <c r="L64"/>
    </row>
    <row r="65" spans="12:12" x14ac:dyDescent="0.2">
      <c r="L65"/>
    </row>
    <row r="66" spans="12:12" x14ac:dyDescent="0.2">
      <c r="L66"/>
    </row>
    <row r="67" spans="12:12" x14ac:dyDescent="0.2">
      <c r="L67"/>
    </row>
  </sheetData>
  <conditionalFormatting sqref="AP40:AP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6714-1C86-C74A-B135-B8F5FE3DFE6F}">
  <dimension ref="A1:AP21"/>
  <sheetViews>
    <sheetView topLeftCell="K1" workbookViewId="0">
      <selection activeCell="AQ12" sqref="AQ12"/>
    </sheetView>
  </sheetViews>
  <sheetFormatPr baseColWidth="10" defaultRowHeight="15" x14ac:dyDescent="0.2"/>
  <sheetData>
    <row r="1" spans="1:42" ht="112" x14ac:dyDescent="0.2">
      <c r="A1" s="6" t="s">
        <v>85</v>
      </c>
      <c r="B1" s="6" t="s">
        <v>18</v>
      </c>
      <c r="C1" s="6" t="s">
        <v>19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8" t="s">
        <v>46</v>
      </c>
      <c r="L1" s="8" t="s">
        <v>47</v>
      </c>
      <c r="M1" s="6" t="s">
        <v>28</v>
      </c>
      <c r="N1" s="6" t="s">
        <v>48</v>
      </c>
      <c r="O1" s="6" t="s">
        <v>49</v>
      </c>
      <c r="P1" s="6" t="s">
        <v>29</v>
      </c>
      <c r="Q1" s="6" t="s">
        <v>50</v>
      </c>
      <c r="R1" s="6" t="s">
        <v>51</v>
      </c>
      <c r="S1" s="6" t="s">
        <v>30</v>
      </c>
      <c r="T1" s="6" t="s">
        <v>52</v>
      </c>
      <c r="U1" s="6" t="s">
        <v>53</v>
      </c>
      <c r="V1" s="6" t="s">
        <v>31</v>
      </c>
      <c r="W1" s="6" t="s">
        <v>54</v>
      </c>
      <c r="X1" s="6" t="s">
        <v>55</v>
      </c>
      <c r="Y1" s="6" t="s">
        <v>32</v>
      </c>
      <c r="Z1" s="6" t="s">
        <v>56</v>
      </c>
      <c r="AA1" s="6" t="s">
        <v>57</v>
      </c>
      <c r="AB1" s="6" t="s">
        <v>33</v>
      </c>
      <c r="AC1" s="21" t="s">
        <v>58</v>
      </c>
      <c r="AD1" s="21" t="s">
        <v>59</v>
      </c>
      <c r="AE1" s="6" t="s">
        <v>34</v>
      </c>
      <c r="AF1" s="6" t="s">
        <v>60</v>
      </c>
      <c r="AG1" s="6" t="s">
        <v>61</v>
      </c>
      <c r="AH1" s="6" t="s">
        <v>62</v>
      </c>
      <c r="AI1" s="6" t="s">
        <v>63</v>
      </c>
      <c r="AJ1" s="6" t="s">
        <v>64</v>
      </c>
      <c r="AK1" s="6" t="s">
        <v>65</v>
      </c>
      <c r="AL1" s="6" t="s">
        <v>66</v>
      </c>
      <c r="AM1" s="6" t="s">
        <v>67</v>
      </c>
      <c r="AN1" s="9" t="s">
        <v>68</v>
      </c>
      <c r="AO1" s="9" t="s">
        <v>69</v>
      </c>
      <c r="AP1" s="9" t="s">
        <v>70</v>
      </c>
    </row>
    <row r="2" spans="1:42" x14ac:dyDescent="0.2">
      <c r="A2" s="1" t="s">
        <v>86</v>
      </c>
      <c r="B2" s="11">
        <v>8549</v>
      </c>
      <c r="C2" s="11">
        <v>36601</v>
      </c>
      <c r="D2" s="11">
        <v>312905640</v>
      </c>
      <c r="E2" s="12">
        <v>0.95099999999999996</v>
      </c>
      <c r="F2" s="12">
        <v>0.41</v>
      </c>
      <c r="G2" s="12">
        <v>0.96</v>
      </c>
      <c r="H2" s="12">
        <v>0.94099999999999995</v>
      </c>
      <c r="I2" s="12">
        <v>0.95899999999999996</v>
      </c>
      <c r="J2" s="12">
        <v>0.96099999999999997</v>
      </c>
      <c r="K2" s="13">
        <v>0.47</v>
      </c>
      <c r="L2" s="13">
        <v>0.49099999999999999</v>
      </c>
      <c r="M2" s="12">
        <v>0.86899999999999999</v>
      </c>
      <c r="N2" s="12">
        <v>0.39700000000000002</v>
      </c>
      <c r="O2" s="12">
        <v>0.47199999999999998</v>
      </c>
      <c r="P2" s="12">
        <v>0.13400000000000001</v>
      </c>
      <c r="Q2" s="12">
        <v>0.10100000000000001</v>
      </c>
      <c r="R2" s="12">
        <v>3.3000000000000002E-2</v>
      </c>
      <c r="S2" s="12">
        <v>0.18099999999999999</v>
      </c>
      <c r="T2" s="12">
        <v>6.2E-2</v>
      </c>
      <c r="U2" s="12">
        <v>0.11899999999999999</v>
      </c>
      <c r="V2" s="12">
        <v>0.55300000000000005</v>
      </c>
      <c r="W2" s="12">
        <v>0.23300000000000001</v>
      </c>
      <c r="X2" s="12">
        <v>0.32</v>
      </c>
      <c r="Y2" s="12">
        <v>0.68400000000000005</v>
      </c>
      <c r="Z2" s="12">
        <v>0.27600000000000002</v>
      </c>
      <c r="AA2" s="12">
        <v>0.40799999999999997</v>
      </c>
      <c r="AB2" s="12">
        <v>4.7E-2</v>
      </c>
      <c r="AC2" s="23">
        <v>728</v>
      </c>
      <c r="AD2" s="22">
        <v>7834</v>
      </c>
      <c r="AE2" s="12">
        <v>0.873</v>
      </c>
      <c r="AF2" s="12">
        <v>0.75600000000000001</v>
      </c>
      <c r="AG2" s="12">
        <v>0.92800000000000005</v>
      </c>
      <c r="AH2" s="11">
        <v>3303</v>
      </c>
      <c r="AI2" s="11">
        <v>1948</v>
      </c>
      <c r="AJ2" s="11">
        <v>29433</v>
      </c>
      <c r="AK2" s="11">
        <v>23657</v>
      </c>
      <c r="AL2" s="11">
        <v>10851</v>
      </c>
      <c r="AM2" s="11">
        <v>6552</v>
      </c>
      <c r="AN2" s="15">
        <v>8549</v>
      </c>
      <c r="AO2">
        <v>882</v>
      </c>
      <c r="AP2" s="16">
        <v>0.10299999999999999</v>
      </c>
    </row>
    <row r="3" spans="1:42" x14ac:dyDescent="0.2">
      <c r="A3" s="1" t="s">
        <v>87</v>
      </c>
      <c r="B3" s="11">
        <v>10020</v>
      </c>
      <c r="C3" s="11">
        <v>33371</v>
      </c>
      <c r="D3" s="11">
        <v>334376300</v>
      </c>
      <c r="E3" s="12">
        <v>0.95399999999999996</v>
      </c>
      <c r="F3" s="12">
        <v>0.42899999999999999</v>
      </c>
      <c r="G3" s="12">
        <v>0.96199999999999997</v>
      </c>
      <c r="H3" s="12">
        <v>0.94299999999999995</v>
      </c>
      <c r="I3" s="12">
        <v>0.96099999999999997</v>
      </c>
      <c r="J3" s="12">
        <v>0.95899999999999996</v>
      </c>
      <c r="K3" s="13">
        <v>0.39100000000000001</v>
      </c>
      <c r="L3" s="13">
        <v>0.56799999999999995</v>
      </c>
      <c r="M3" s="12">
        <v>0.873</v>
      </c>
      <c r="N3" s="12">
        <v>0.32700000000000001</v>
      </c>
      <c r="O3" s="12">
        <v>0.54600000000000004</v>
      </c>
      <c r="P3" s="12">
        <v>8.6999999999999994E-2</v>
      </c>
      <c r="Q3" s="12">
        <v>0.05</v>
      </c>
      <c r="R3" s="12">
        <v>3.6999999999999998E-2</v>
      </c>
      <c r="S3" s="12">
        <v>0.2</v>
      </c>
      <c r="T3" s="12">
        <v>6.5000000000000002E-2</v>
      </c>
      <c r="U3" s="12">
        <v>0.13400000000000001</v>
      </c>
      <c r="V3" s="12">
        <v>0.58599999999999997</v>
      </c>
      <c r="W3" s="12">
        <v>0.21099999999999999</v>
      </c>
      <c r="X3" s="12">
        <v>0.375</v>
      </c>
      <c r="Y3" s="12">
        <v>0.72899999999999998</v>
      </c>
      <c r="Z3" s="12">
        <v>0.254</v>
      </c>
      <c r="AA3" s="12">
        <v>0.47399999999999998</v>
      </c>
      <c r="AB3" s="12">
        <v>5.2999999999999999E-2</v>
      </c>
      <c r="AC3" s="23">
        <v>697</v>
      </c>
      <c r="AD3" s="22">
        <v>9370</v>
      </c>
      <c r="AE3" s="12">
        <v>0.90900000000000003</v>
      </c>
      <c r="AF3" s="12">
        <v>0.83499999999999996</v>
      </c>
      <c r="AG3" s="12">
        <v>0.92900000000000005</v>
      </c>
      <c r="AH3" s="11">
        <v>7346</v>
      </c>
      <c r="AI3" s="11">
        <v>1849</v>
      </c>
      <c r="AJ3" s="11">
        <v>29649</v>
      </c>
      <c r="AK3" s="11">
        <v>24408</v>
      </c>
      <c r="AL3" s="11">
        <v>43499</v>
      </c>
      <c r="AM3" s="11">
        <v>6628</v>
      </c>
      <c r="AN3" s="15">
        <v>10020</v>
      </c>
      <c r="AO3" s="15">
        <v>2125</v>
      </c>
      <c r="AP3" s="16">
        <v>0.21199999999999999</v>
      </c>
    </row>
    <row r="4" spans="1:42" x14ac:dyDescent="0.2">
      <c r="A4" s="1" t="s">
        <v>88</v>
      </c>
      <c r="B4" s="11">
        <v>10242</v>
      </c>
      <c r="C4" s="11">
        <v>28869</v>
      </c>
      <c r="D4" s="11">
        <v>295678425</v>
      </c>
      <c r="E4" s="12">
        <v>0.95</v>
      </c>
      <c r="F4" s="12">
        <v>0.40600000000000003</v>
      </c>
      <c r="G4" s="12">
        <v>0.96099999999999997</v>
      </c>
      <c r="H4" s="12">
        <v>0.94299999999999995</v>
      </c>
      <c r="I4" s="12">
        <v>0.96</v>
      </c>
      <c r="J4" s="12">
        <v>0.95699999999999996</v>
      </c>
      <c r="K4" s="13">
        <v>0.29199999999999998</v>
      </c>
      <c r="L4" s="13">
        <v>0.66600000000000004</v>
      </c>
      <c r="M4" s="12">
        <v>0.86499999999999999</v>
      </c>
      <c r="N4" s="12">
        <v>0.22500000000000001</v>
      </c>
      <c r="O4" s="12">
        <v>0.64</v>
      </c>
      <c r="P4" s="12">
        <v>0.123</v>
      </c>
      <c r="Q4" s="12">
        <v>6.5000000000000002E-2</v>
      </c>
      <c r="R4" s="12">
        <v>5.8000000000000003E-2</v>
      </c>
      <c r="S4" s="12">
        <v>0.20100000000000001</v>
      </c>
      <c r="T4" s="12">
        <v>3.5000000000000003E-2</v>
      </c>
      <c r="U4" s="12">
        <v>0.16600000000000001</v>
      </c>
      <c r="V4" s="12">
        <v>0.54100000000000004</v>
      </c>
      <c r="W4" s="12">
        <v>0.125</v>
      </c>
      <c r="X4" s="12">
        <v>0.41599999999999998</v>
      </c>
      <c r="Y4" s="12">
        <v>0.68600000000000005</v>
      </c>
      <c r="Z4" s="12">
        <v>0.14899999999999999</v>
      </c>
      <c r="AA4" s="12">
        <v>0.53700000000000003</v>
      </c>
      <c r="AB4" s="12">
        <v>5.2999999999999999E-2</v>
      </c>
      <c r="AC4" s="23">
        <v>414</v>
      </c>
      <c r="AD4" s="22">
        <v>9839</v>
      </c>
      <c r="AE4" s="12">
        <v>0.88300000000000001</v>
      </c>
      <c r="AF4" s="12">
        <v>0.72599999999999998</v>
      </c>
      <c r="AG4" s="12">
        <v>0.90700000000000003</v>
      </c>
      <c r="AH4" s="11">
        <v>1886</v>
      </c>
      <c r="AI4" s="11">
        <v>2289</v>
      </c>
      <c r="AJ4" s="11">
        <v>27914</v>
      </c>
      <c r="AK4" s="11">
        <v>25492</v>
      </c>
      <c r="AL4" s="11">
        <v>5029</v>
      </c>
      <c r="AM4" s="11">
        <v>6990</v>
      </c>
      <c r="AN4" s="15">
        <v>10242</v>
      </c>
      <c r="AO4" s="15">
        <v>3463</v>
      </c>
      <c r="AP4" s="16">
        <v>0.33800000000000002</v>
      </c>
    </row>
    <row r="5" spans="1:42" x14ac:dyDescent="0.2">
      <c r="A5" s="1" t="s">
        <v>89</v>
      </c>
      <c r="B5" s="11">
        <v>10819</v>
      </c>
      <c r="C5" s="11">
        <v>32285</v>
      </c>
      <c r="D5" s="11">
        <v>349292868</v>
      </c>
      <c r="E5" s="12">
        <v>0.93799999999999994</v>
      </c>
      <c r="F5" s="12">
        <v>0.34100000000000003</v>
      </c>
      <c r="G5" s="12">
        <v>0.96399999999999997</v>
      </c>
      <c r="H5" s="12">
        <v>0.94099999999999995</v>
      </c>
      <c r="I5" s="12">
        <v>0.96299999999999997</v>
      </c>
      <c r="J5" s="12">
        <v>0.96099999999999997</v>
      </c>
      <c r="K5" s="13">
        <v>0.52</v>
      </c>
      <c r="L5" s="13">
        <v>0.441</v>
      </c>
      <c r="M5" s="12">
        <v>0.84899999999999998</v>
      </c>
      <c r="N5" s="12">
        <v>0.42699999999999999</v>
      </c>
      <c r="O5" s="12">
        <v>0.42099999999999999</v>
      </c>
      <c r="P5" s="12">
        <v>0.11799999999999999</v>
      </c>
      <c r="Q5" s="12">
        <v>8.5999999999999993E-2</v>
      </c>
      <c r="R5" s="12">
        <v>3.3000000000000002E-2</v>
      </c>
      <c r="S5" s="12">
        <v>0.182</v>
      </c>
      <c r="T5" s="12">
        <v>8.3000000000000004E-2</v>
      </c>
      <c r="U5" s="12">
        <v>9.9000000000000005E-2</v>
      </c>
      <c r="V5" s="12">
        <v>0.54800000000000004</v>
      </c>
      <c r="W5" s="12">
        <v>0.25800000000000001</v>
      </c>
      <c r="X5" s="12">
        <v>0.28999999999999998</v>
      </c>
      <c r="Y5" s="12">
        <v>0.67600000000000005</v>
      </c>
      <c r="Z5" s="12">
        <v>0.315</v>
      </c>
      <c r="AA5" s="12">
        <v>0.36199999999999999</v>
      </c>
      <c r="AB5" s="12">
        <v>0.05</v>
      </c>
      <c r="AC5" s="22">
        <v>1254</v>
      </c>
      <c r="AD5" s="22">
        <v>9574</v>
      </c>
      <c r="AE5" s="12">
        <v>0.85099999999999998</v>
      </c>
      <c r="AF5" s="12">
        <v>0.76</v>
      </c>
      <c r="AG5" s="12">
        <v>0.89500000000000002</v>
      </c>
      <c r="AH5" s="11">
        <v>7592</v>
      </c>
      <c r="AI5" s="11">
        <v>1775</v>
      </c>
      <c r="AJ5" s="11">
        <v>30892</v>
      </c>
      <c r="AK5" s="11">
        <v>25296</v>
      </c>
      <c r="AL5" s="11">
        <v>36570</v>
      </c>
      <c r="AM5" s="11">
        <v>4751</v>
      </c>
      <c r="AN5" s="15">
        <v>10819</v>
      </c>
      <c r="AO5">
        <v>882</v>
      </c>
      <c r="AP5" s="16">
        <v>8.2000000000000003E-2</v>
      </c>
    </row>
    <row r="6" spans="1:42" x14ac:dyDescent="0.2">
      <c r="A6" s="1" t="s">
        <v>90</v>
      </c>
      <c r="B6" s="11">
        <v>10068</v>
      </c>
      <c r="C6" s="11">
        <v>43051</v>
      </c>
      <c r="D6" s="11">
        <v>433436603</v>
      </c>
      <c r="E6" s="12">
        <v>0.93799999999999994</v>
      </c>
      <c r="F6" s="12">
        <v>0.48099999999999998</v>
      </c>
      <c r="G6" s="12">
        <v>0.95899999999999996</v>
      </c>
      <c r="H6" s="12">
        <v>0.93899999999999995</v>
      </c>
      <c r="I6" s="12">
        <v>0.95699999999999996</v>
      </c>
      <c r="J6" s="12">
        <v>0.95799999999999996</v>
      </c>
      <c r="K6" s="13">
        <v>0.308</v>
      </c>
      <c r="L6" s="13">
        <v>0.65</v>
      </c>
      <c r="M6" s="12">
        <v>0.84299999999999997</v>
      </c>
      <c r="N6" s="12">
        <v>0.22</v>
      </c>
      <c r="O6" s="12">
        <v>0.624</v>
      </c>
      <c r="P6" s="12">
        <v>0.16200000000000001</v>
      </c>
      <c r="Q6" s="12">
        <v>9.5000000000000001E-2</v>
      </c>
      <c r="R6" s="12">
        <v>6.7000000000000004E-2</v>
      </c>
      <c r="S6" s="12">
        <v>0.186</v>
      </c>
      <c r="T6" s="12">
        <v>2.1999999999999999E-2</v>
      </c>
      <c r="U6" s="12">
        <v>0.16400000000000001</v>
      </c>
      <c r="V6" s="12">
        <v>0.495</v>
      </c>
      <c r="W6" s="12">
        <v>0.10299999999999999</v>
      </c>
      <c r="X6" s="12">
        <v>0.39200000000000002</v>
      </c>
      <c r="Y6" s="12">
        <v>0.625</v>
      </c>
      <c r="Z6" s="12">
        <v>0.11799999999999999</v>
      </c>
      <c r="AA6" s="12">
        <v>0.50700000000000001</v>
      </c>
      <c r="AB6" s="12">
        <v>5.3999999999999999E-2</v>
      </c>
      <c r="AC6" s="23">
        <v>513</v>
      </c>
      <c r="AD6" s="22">
        <v>9561</v>
      </c>
      <c r="AE6" s="12">
        <v>0.91500000000000004</v>
      </c>
      <c r="AF6" s="12">
        <v>0.67700000000000005</v>
      </c>
      <c r="AG6" s="12">
        <v>0.94499999999999995</v>
      </c>
      <c r="AH6" s="11">
        <v>1651</v>
      </c>
      <c r="AI6" s="11">
        <v>2635</v>
      </c>
      <c r="AJ6" s="11">
        <v>27915</v>
      </c>
      <c r="AK6" s="11">
        <v>25789</v>
      </c>
      <c r="AL6" s="11">
        <v>5100</v>
      </c>
      <c r="AM6" s="11">
        <v>9201</v>
      </c>
      <c r="AN6" s="15">
        <v>10068</v>
      </c>
      <c r="AO6" s="15">
        <v>8168</v>
      </c>
      <c r="AP6" s="16">
        <v>0.81100000000000005</v>
      </c>
    </row>
    <row r="7" spans="1:42" x14ac:dyDescent="0.2">
      <c r="A7" s="1" t="s">
        <v>91</v>
      </c>
      <c r="B7" s="11">
        <v>12417</v>
      </c>
      <c r="C7" s="11">
        <v>44312</v>
      </c>
      <c r="D7" s="11">
        <v>550226101</v>
      </c>
      <c r="E7" s="12">
        <v>0.93500000000000005</v>
      </c>
      <c r="F7" s="12">
        <v>0.34799999999999998</v>
      </c>
      <c r="G7" s="12">
        <v>0.96099999999999997</v>
      </c>
      <c r="H7" s="12">
        <v>0.93899999999999995</v>
      </c>
      <c r="I7" s="12">
        <v>0.96</v>
      </c>
      <c r="J7" s="12">
        <v>0.96199999999999997</v>
      </c>
      <c r="K7" s="13">
        <v>0.64800000000000002</v>
      </c>
      <c r="L7" s="13">
        <v>0.314</v>
      </c>
      <c r="M7" s="12">
        <v>0.84</v>
      </c>
      <c r="N7" s="12">
        <v>0.54200000000000004</v>
      </c>
      <c r="O7" s="12">
        <v>0.29799999999999999</v>
      </c>
      <c r="P7" s="12">
        <v>0.1</v>
      </c>
      <c r="Q7" s="12">
        <v>7.5999999999999998E-2</v>
      </c>
      <c r="R7" s="12">
        <v>2.5000000000000001E-2</v>
      </c>
      <c r="S7" s="12">
        <v>0.151</v>
      </c>
      <c r="T7" s="12">
        <v>8.3000000000000004E-2</v>
      </c>
      <c r="U7" s="12">
        <v>6.7000000000000004E-2</v>
      </c>
      <c r="V7" s="12">
        <v>0.58799999999999997</v>
      </c>
      <c r="W7" s="12">
        <v>0.38300000000000001</v>
      </c>
      <c r="X7" s="12">
        <v>0.20499999999999999</v>
      </c>
      <c r="Y7" s="12">
        <v>0.69199999999999995</v>
      </c>
      <c r="Z7" s="12">
        <v>0.439</v>
      </c>
      <c r="AA7" s="12">
        <v>0.253</v>
      </c>
      <c r="AB7" s="12">
        <v>4.2999999999999997E-2</v>
      </c>
      <c r="AC7" s="22">
        <v>3299</v>
      </c>
      <c r="AD7" s="22">
        <v>9297</v>
      </c>
      <c r="AE7" s="12">
        <v>0.83499999999999996</v>
      </c>
      <c r="AF7" s="12">
        <v>0.76800000000000002</v>
      </c>
      <c r="AG7" s="12">
        <v>0.86899999999999999</v>
      </c>
      <c r="AH7" s="11">
        <v>5183</v>
      </c>
      <c r="AI7" s="11">
        <v>2235</v>
      </c>
      <c r="AJ7" s="11">
        <v>31713</v>
      </c>
      <c r="AK7" s="11">
        <v>25069</v>
      </c>
      <c r="AL7" s="11">
        <v>19618</v>
      </c>
      <c r="AM7" s="11">
        <v>6250</v>
      </c>
      <c r="AN7" s="15">
        <v>12417</v>
      </c>
      <c r="AO7" s="15">
        <v>5814</v>
      </c>
      <c r="AP7" s="16">
        <v>0.46800000000000003</v>
      </c>
    </row>
    <row r="8" spans="1:42" x14ac:dyDescent="0.2">
      <c r="A8" s="1" t="s">
        <v>92</v>
      </c>
      <c r="B8" s="11">
        <v>12500</v>
      </c>
      <c r="C8" s="11">
        <v>31514</v>
      </c>
      <c r="D8" s="11">
        <v>393920434</v>
      </c>
      <c r="E8" s="12">
        <v>0.96499999999999997</v>
      </c>
      <c r="F8" s="12">
        <v>0.443</v>
      </c>
      <c r="G8" s="12">
        <v>0.96399999999999997</v>
      </c>
      <c r="H8" s="12">
        <v>0.94899999999999995</v>
      </c>
      <c r="I8" s="12">
        <v>0.96299999999999997</v>
      </c>
      <c r="J8" s="12">
        <v>0.95599999999999996</v>
      </c>
      <c r="K8" s="13">
        <v>2.1999999999999999E-2</v>
      </c>
      <c r="L8" s="13">
        <v>0.93500000000000005</v>
      </c>
      <c r="M8" s="12">
        <v>0.89900000000000002</v>
      </c>
      <c r="N8" s="12">
        <v>1E-3</v>
      </c>
      <c r="O8" s="12">
        <v>0.89800000000000002</v>
      </c>
      <c r="P8" s="12">
        <v>0.05</v>
      </c>
      <c r="Q8" s="12">
        <v>0</v>
      </c>
      <c r="R8" s="12">
        <v>0.05</v>
      </c>
      <c r="S8" s="12">
        <v>0.13400000000000001</v>
      </c>
      <c r="T8" s="12">
        <v>0</v>
      </c>
      <c r="U8" s="12">
        <v>0.13400000000000001</v>
      </c>
      <c r="V8" s="12">
        <v>0.71499999999999997</v>
      </c>
      <c r="W8" s="12">
        <v>1E-3</v>
      </c>
      <c r="X8" s="12">
        <v>0.71499999999999997</v>
      </c>
      <c r="Y8" s="12">
        <v>0.81200000000000006</v>
      </c>
      <c r="Z8" s="12">
        <v>0</v>
      </c>
      <c r="AA8" s="12">
        <v>0.81200000000000006</v>
      </c>
      <c r="AB8" s="12">
        <v>3.5000000000000003E-2</v>
      </c>
      <c r="AC8" s="22">
        <v>7631</v>
      </c>
      <c r="AD8" s="22">
        <v>9497</v>
      </c>
      <c r="AE8" s="12">
        <v>0.97</v>
      </c>
      <c r="AF8" s="12">
        <v>0.78</v>
      </c>
      <c r="AG8" s="12">
        <v>0.88300000000000001</v>
      </c>
      <c r="AH8" s="1">
        <v>3</v>
      </c>
      <c r="AI8" s="11">
        <v>2478</v>
      </c>
      <c r="AJ8" s="11">
        <v>2894</v>
      </c>
      <c r="AK8" s="11">
        <v>24844</v>
      </c>
      <c r="AL8" s="1">
        <v>3</v>
      </c>
      <c r="AM8" s="11">
        <v>10214</v>
      </c>
      <c r="AN8" s="15">
        <v>12500</v>
      </c>
      <c r="AO8">
        <v>0</v>
      </c>
      <c r="AP8" s="16">
        <v>0</v>
      </c>
    </row>
    <row r="9" spans="1:42" x14ac:dyDescent="0.2">
      <c r="A9" s="1" t="s">
        <v>93</v>
      </c>
      <c r="B9" s="11">
        <v>11494</v>
      </c>
      <c r="C9" s="11">
        <v>34037</v>
      </c>
      <c r="D9" s="11">
        <v>391219659</v>
      </c>
      <c r="E9" s="12">
        <v>0.95899999999999996</v>
      </c>
      <c r="F9" s="12">
        <v>0.52500000000000002</v>
      </c>
      <c r="G9" s="12">
        <v>0.96199999999999997</v>
      </c>
      <c r="H9" s="12">
        <v>0.94699999999999995</v>
      </c>
      <c r="I9" s="12">
        <v>0.96</v>
      </c>
      <c r="J9" s="12">
        <v>0.96199999999999997</v>
      </c>
      <c r="K9" s="13">
        <v>0.41099999999999998</v>
      </c>
      <c r="L9" s="13">
        <v>0.55100000000000005</v>
      </c>
      <c r="M9" s="12">
        <v>0.90300000000000002</v>
      </c>
      <c r="N9" s="12">
        <v>0.374</v>
      </c>
      <c r="O9" s="12">
        <v>0.52800000000000002</v>
      </c>
      <c r="P9" s="12">
        <v>9.9000000000000005E-2</v>
      </c>
      <c r="Q9" s="12">
        <v>6.5000000000000002E-2</v>
      </c>
      <c r="R9" s="12">
        <v>3.4000000000000002E-2</v>
      </c>
      <c r="S9" s="12">
        <v>0.16600000000000001</v>
      </c>
      <c r="T9" s="12">
        <v>5.2999999999999999E-2</v>
      </c>
      <c r="U9" s="12">
        <v>0.113</v>
      </c>
      <c r="V9" s="12">
        <v>0.63800000000000001</v>
      </c>
      <c r="W9" s="12">
        <v>0.25700000000000001</v>
      </c>
      <c r="X9" s="12">
        <v>0.38100000000000001</v>
      </c>
      <c r="Y9" s="12">
        <v>0.754</v>
      </c>
      <c r="Z9" s="12">
        <v>0.29099999999999998</v>
      </c>
      <c r="AA9" s="12">
        <v>0.46400000000000002</v>
      </c>
      <c r="AB9" s="12">
        <v>4.5999999999999999E-2</v>
      </c>
      <c r="AC9" s="22">
        <v>1202</v>
      </c>
      <c r="AD9" s="22">
        <v>10312</v>
      </c>
      <c r="AE9" s="12">
        <v>0.94</v>
      </c>
      <c r="AF9" s="12">
        <v>0.89200000000000002</v>
      </c>
      <c r="AG9" s="12">
        <v>0.95199999999999996</v>
      </c>
      <c r="AH9" s="1">
        <v>380</v>
      </c>
      <c r="AI9" s="11">
        <v>1709</v>
      </c>
      <c r="AJ9" s="11">
        <v>29832</v>
      </c>
      <c r="AK9" s="11">
        <v>24562</v>
      </c>
      <c r="AL9" s="11">
        <v>1942</v>
      </c>
      <c r="AM9" s="11">
        <v>5378</v>
      </c>
      <c r="AN9" s="15">
        <v>11494</v>
      </c>
      <c r="AO9" s="15">
        <v>1828</v>
      </c>
      <c r="AP9" s="16">
        <v>0.159</v>
      </c>
    </row>
    <row r="10" spans="1:42" x14ac:dyDescent="0.2">
      <c r="A10" s="1" t="s">
        <v>94</v>
      </c>
      <c r="B10" s="11">
        <v>7521</v>
      </c>
      <c r="C10" s="11">
        <v>48284</v>
      </c>
      <c r="D10" s="11">
        <v>363146999</v>
      </c>
      <c r="E10" s="12">
        <v>0.96299999999999997</v>
      </c>
      <c r="F10" s="12">
        <v>0.49399999999999999</v>
      </c>
      <c r="G10" s="12">
        <v>0.96199999999999997</v>
      </c>
      <c r="H10" s="12">
        <v>0.94799999999999995</v>
      </c>
      <c r="I10" s="12">
        <v>0.96</v>
      </c>
      <c r="J10" s="12">
        <v>0.96699999999999997</v>
      </c>
      <c r="K10" s="13">
        <v>0.56599999999999995</v>
      </c>
      <c r="L10" s="13">
        <v>0.40100000000000002</v>
      </c>
      <c r="M10" s="12">
        <v>0.90800000000000003</v>
      </c>
      <c r="N10" s="12">
        <v>0.52200000000000002</v>
      </c>
      <c r="O10" s="12">
        <v>0.38500000000000001</v>
      </c>
      <c r="P10" s="12">
        <v>6.7000000000000004E-2</v>
      </c>
      <c r="Q10" s="12">
        <v>4.3999999999999997E-2</v>
      </c>
      <c r="R10" s="12">
        <v>2.3E-2</v>
      </c>
      <c r="S10" s="12">
        <v>0.17100000000000001</v>
      </c>
      <c r="T10" s="12">
        <v>9.2999999999999999E-2</v>
      </c>
      <c r="U10" s="12">
        <v>7.8E-2</v>
      </c>
      <c r="V10" s="12">
        <v>0.67</v>
      </c>
      <c r="W10" s="12">
        <v>0.38500000000000001</v>
      </c>
      <c r="X10" s="12">
        <v>0.28499999999999998</v>
      </c>
      <c r="Y10" s="12">
        <v>0.79200000000000004</v>
      </c>
      <c r="Z10" s="12">
        <v>0.44800000000000001</v>
      </c>
      <c r="AA10" s="12">
        <v>0.34399999999999997</v>
      </c>
      <c r="AB10" s="12">
        <v>4.3999999999999997E-2</v>
      </c>
      <c r="AC10" s="22">
        <v>1359</v>
      </c>
      <c r="AD10" s="22">
        <v>6192</v>
      </c>
      <c r="AE10" s="12">
        <v>0.93799999999999994</v>
      </c>
      <c r="AF10" s="12">
        <v>0.91400000000000003</v>
      </c>
      <c r="AG10" s="12">
        <v>0.94799999999999995</v>
      </c>
      <c r="AH10" s="11">
        <v>8199</v>
      </c>
      <c r="AI10" s="11">
        <v>2080</v>
      </c>
      <c r="AJ10" s="11">
        <v>30421</v>
      </c>
      <c r="AK10" s="11">
        <v>23743</v>
      </c>
      <c r="AL10" s="11">
        <v>54038</v>
      </c>
      <c r="AM10" s="11">
        <v>6672</v>
      </c>
      <c r="AN10" s="15">
        <v>7521</v>
      </c>
      <c r="AO10">
        <v>470</v>
      </c>
      <c r="AP10" s="16">
        <v>6.2E-2</v>
      </c>
    </row>
    <row r="11" spans="1:42" x14ac:dyDescent="0.2">
      <c r="A11" s="1" t="s">
        <v>95</v>
      </c>
      <c r="B11" s="15">
        <v>11709</v>
      </c>
      <c r="C11" s="15">
        <v>38118</v>
      </c>
      <c r="D11" s="15">
        <v>446322377</v>
      </c>
      <c r="E11" s="16">
        <v>0.96199999999999997</v>
      </c>
      <c r="F11" s="16">
        <v>0.46500000000000002</v>
      </c>
      <c r="G11" s="16">
        <v>0.96499999999999997</v>
      </c>
      <c r="H11" s="16">
        <v>0.94699999999999995</v>
      </c>
      <c r="I11" s="16">
        <v>0.96299999999999997</v>
      </c>
      <c r="J11" s="16">
        <v>0.96699999999999997</v>
      </c>
      <c r="K11" s="16">
        <v>1.7000000000000001E-2</v>
      </c>
      <c r="L11" s="16">
        <v>0.95</v>
      </c>
      <c r="M11" s="16">
        <v>0.91700000000000004</v>
      </c>
      <c r="N11" s="16">
        <v>0</v>
      </c>
      <c r="O11" s="16">
        <v>0.91700000000000004</v>
      </c>
      <c r="P11" s="16">
        <v>4.2000000000000003E-2</v>
      </c>
      <c r="Q11" s="16">
        <v>0</v>
      </c>
      <c r="R11" s="16">
        <v>4.2000000000000003E-2</v>
      </c>
      <c r="S11" s="16">
        <v>0.11700000000000001</v>
      </c>
      <c r="T11" s="16">
        <v>0</v>
      </c>
      <c r="U11" s="16">
        <v>0.11600000000000001</v>
      </c>
      <c r="V11" s="16">
        <v>0.75900000000000001</v>
      </c>
      <c r="W11" s="16">
        <v>0</v>
      </c>
      <c r="X11" s="16">
        <v>0.75900000000000001</v>
      </c>
      <c r="Y11" s="16">
        <v>0.84199999999999997</v>
      </c>
      <c r="Z11" s="16">
        <v>0</v>
      </c>
      <c r="AA11" s="16">
        <v>0.84199999999999997</v>
      </c>
      <c r="AB11" s="16">
        <v>3.1E-2</v>
      </c>
      <c r="AC11" s="29">
        <v>7927</v>
      </c>
      <c r="AD11" s="29">
        <v>9152</v>
      </c>
      <c r="AE11" s="16">
        <v>0.96899999999999997</v>
      </c>
      <c r="AF11" s="16">
        <v>0.83499999999999996</v>
      </c>
      <c r="AG11" s="16">
        <v>0.91500000000000004</v>
      </c>
      <c r="AH11">
        <v>3</v>
      </c>
      <c r="AI11" s="15">
        <v>2992</v>
      </c>
      <c r="AJ11" s="15">
        <v>3597</v>
      </c>
      <c r="AK11" s="15">
        <v>24212</v>
      </c>
      <c r="AL11">
        <v>3</v>
      </c>
      <c r="AM11" s="15">
        <v>13634</v>
      </c>
      <c r="AN11" s="15">
        <v>11709</v>
      </c>
      <c r="AO11">
        <v>0</v>
      </c>
      <c r="AP11" s="16">
        <v>0</v>
      </c>
    </row>
    <row r="12" spans="1:42" x14ac:dyDescent="0.2">
      <c r="A12" s="1" t="s">
        <v>96</v>
      </c>
      <c r="B12" s="11">
        <v>25300</v>
      </c>
      <c r="C12" s="11">
        <v>23679</v>
      </c>
      <c r="D12" s="11">
        <v>599067945</v>
      </c>
      <c r="E12" s="12">
        <v>0.95</v>
      </c>
      <c r="F12" s="12">
        <v>0.29899999999999999</v>
      </c>
      <c r="G12" s="12">
        <v>0.96699999999999997</v>
      </c>
      <c r="H12" s="12">
        <v>0.95499999999999996</v>
      </c>
      <c r="I12" s="12">
        <v>0.96599999999999997</v>
      </c>
      <c r="J12" s="12">
        <v>0.97799999999999998</v>
      </c>
      <c r="K12" s="13">
        <v>0.97599999999999998</v>
      </c>
      <c r="L12" s="13">
        <v>2E-3</v>
      </c>
      <c r="M12" s="12">
        <v>0.93600000000000005</v>
      </c>
      <c r="N12" s="12">
        <v>0.93600000000000005</v>
      </c>
      <c r="O12" s="12">
        <v>0</v>
      </c>
      <c r="P12" s="12">
        <v>3.4000000000000002E-2</v>
      </c>
      <c r="Q12" s="12">
        <v>3.4000000000000002E-2</v>
      </c>
      <c r="R12" s="12">
        <v>0</v>
      </c>
      <c r="S12" s="12">
        <v>0.151</v>
      </c>
      <c r="T12" s="12">
        <v>0.151</v>
      </c>
      <c r="U12" s="12">
        <v>0</v>
      </c>
      <c r="V12" s="12">
        <v>0.752</v>
      </c>
      <c r="W12" s="12">
        <v>0.752</v>
      </c>
      <c r="X12" s="12">
        <v>0</v>
      </c>
      <c r="Y12" s="12">
        <v>0.85299999999999998</v>
      </c>
      <c r="Z12" s="12">
        <v>0.85199999999999998</v>
      </c>
      <c r="AA12" s="12">
        <v>0</v>
      </c>
      <c r="AB12" s="12">
        <v>4.5999999999999999E-2</v>
      </c>
      <c r="AC12" s="30">
        <v>17363</v>
      </c>
      <c r="AD12" s="30">
        <v>22451</v>
      </c>
      <c r="AE12" s="12">
        <v>0.97199999999999998</v>
      </c>
      <c r="AF12" s="12">
        <v>0.97</v>
      </c>
      <c r="AG12" s="12">
        <v>1</v>
      </c>
      <c r="AH12" s="11">
        <v>4978</v>
      </c>
      <c r="AI12" s="1">
        <v>1</v>
      </c>
      <c r="AJ12" s="11">
        <v>32259</v>
      </c>
      <c r="AK12" s="11">
        <v>3889</v>
      </c>
      <c r="AL12" s="11">
        <v>18245</v>
      </c>
      <c r="AM12" s="31">
        <v>1</v>
      </c>
      <c r="AN12" s="32">
        <v>25300</v>
      </c>
      <c r="AO12" s="3">
        <v>0</v>
      </c>
      <c r="AP12" s="33">
        <v>0</v>
      </c>
    </row>
    <row r="13" spans="1:42" x14ac:dyDescent="0.2">
      <c r="A13" s="1" t="s">
        <v>97</v>
      </c>
      <c r="B13" s="11">
        <v>26947</v>
      </c>
      <c r="C13" s="11">
        <v>21109</v>
      </c>
      <c r="D13" s="11">
        <v>568814783</v>
      </c>
      <c r="E13" s="12">
        <v>0.96099999999999997</v>
      </c>
      <c r="F13" s="12">
        <v>0.28399999999999997</v>
      </c>
      <c r="G13" s="12">
        <v>0.96799999999999997</v>
      </c>
      <c r="H13" s="12">
        <v>0.95099999999999996</v>
      </c>
      <c r="I13" s="12">
        <v>0.96599999999999997</v>
      </c>
      <c r="J13" s="12">
        <v>0.97199999999999998</v>
      </c>
      <c r="K13" s="13">
        <v>0.97</v>
      </c>
      <c r="L13" s="13">
        <v>2E-3</v>
      </c>
      <c r="M13" s="12">
        <v>0.93300000000000005</v>
      </c>
      <c r="N13" s="12">
        <v>0.93200000000000005</v>
      </c>
      <c r="O13" s="12">
        <v>0</v>
      </c>
      <c r="P13" s="12">
        <v>4.2000000000000003E-2</v>
      </c>
      <c r="Q13" s="12">
        <v>4.1000000000000002E-2</v>
      </c>
      <c r="R13" s="12">
        <v>0</v>
      </c>
      <c r="S13" s="12">
        <v>0.16400000000000001</v>
      </c>
      <c r="T13" s="12">
        <v>0.16400000000000001</v>
      </c>
      <c r="U13" s="12">
        <v>0</v>
      </c>
      <c r="V13" s="12">
        <v>0.72699999999999998</v>
      </c>
      <c r="W13" s="12">
        <v>0.72699999999999998</v>
      </c>
      <c r="X13" s="12">
        <v>0</v>
      </c>
      <c r="Y13" s="12">
        <v>0.84199999999999997</v>
      </c>
      <c r="Z13" s="12">
        <v>0.84199999999999997</v>
      </c>
      <c r="AA13" s="12">
        <v>0</v>
      </c>
      <c r="AB13" s="12">
        <v>4.3999999999999997E-2</v>
      </c>
      <c r="AC13" s="30">
        <v>13264</v>
      </c>
      <c r="AD13" s="30">
        <v>25878</v>
      </c>
      <c r="AE13" s="12">
        <v>0.95699999999999996</v>
      </c>
      <c r="AF13" s="12">
        <v>0.95199999999999996</v>
      </c>
      <c r="AG13" s="12">
        <v>1</v>
      </c>
      <c r="AH13" s="11">
        <v>5771</v>
      </c>
      <c r="AI13" s="1">
        <v>1</v>
      </c>
      <c r="AJ13" s="11">
        <v>32798</v>
      </c>
      <c r="AK13" s="11">
        <v>5198</v>
      </c>
      <c r="AL13" s="11">
        <v>22686</v>
      </c>
      <c r="AM13" s="1">
        <v>1</v>
      </c>
      <c r="AN13" s="32">
        <v>26947</v>
      </c>
      <c r="AO13" s="32">
        <v>26947</v>
      </c>
      <c r="AP13" s="33">
        <v>1</v>
      </c>
    </row>
    <row r="14" spans="1:42" ht="16" x14ac:dyDescent="0.2">
      <c r="A14" s="10" t="s">
        <v>71</v>
      </c>
      <c r="B14" s="11">
        <v>9689</v>
      </c>
      <c r="C14" s="11">
        <v>23207</v>
      </c>
      <c r="D14" s="11">
        <v>224853971</v>
      </c>
      <c r="E14" s="12">
        <v>0.95199999999999996</v>
      </c>
      <c r="F14" s="12">
        <v>0.34300000000000003</v>
      </c>
      <c r="G14" s="12">
        <v>0.94599999999999995</v>
      </c>
      <c r="H14" s="12">
        <v>0.92800000000000005</v>
      </c>
      <c r="I14" s="12">
        <v>0.94499999999999995</v>
      </c>
      <c r="J14" s="12">
        <v>0.94299999999999995</v>
      </c>
      <c r="K14" s="13">
        <v>0.34</v>
      </c>
      <c r="L14" s="13">
        <v>0.60299999999999998</v>
      </c>
      <c r="M14" s="12">
        <v>0.72599999999999998</v>
      </c>
      <c r="N14" s="12">
        <v>0.155</v>
      </c>
      <c r="O14" s="12">
        <v>0.57099999999999995</v>
      </c>
      <c r="P14" s="12">
        <v>0.11</v>
      </c>
      <c r="Q14" s="12">
        <v>3.5999999999999997E-2</v>
      </c>
      <c r="R14" s="12">
        <v>7.3999999999999996E-2</v>
      </c>
      <c r="S14" s="12">
        <v>0.14799999999999999</v>
      </c>
      <c r="T14" s="12">
        <v>2.4E-2</v>
      </c>
      <c r="U14" s="12">
        <v>0.124</v>
      </c>
      <c r="V14" s="12">
        <v>0.46800000000000003</v>
      </c>
      <c r="W14" s="12">
        <v>9.6000000000000002E-2</v>
      </c>
      <c r="X14" s="12">
        <v>0.372</v>
      </c>
      <c r="Y14" s="12">
        <v>0.57799999999999996</v>
      </c>
      <c r="Z14" s="12">
        <v>0.115</v>
      </c>
      <c r="AA14" s="12">
        <v>0.46300000000000002</v>
      </c>
      <c r="AB14" s="12">
        <v>3.5999999999999997E-2</v>
      </c>
      <c r="AC14" s="18">
        <v>436</v>
      </c>
      <c r="AD14" s="19">
        <v>9270</v>
      </c>
      <c r="AE14" s="12">
        <v>0.90200000000000002</v>
      </c>
      <c r="AF14" s="12">
        <v>0.74299999999999999</v>
      </c>
      <c r="AG14" s="12">
        <v>0.93300000000000005</v>
      </c>
      <c r="AH14" s="11">
        <v>3838</v>
      </c>
      <c r="AI14" s="11">
        <v>1884</v>
      </c>
      <c r="AJ14" s="11">
        <v>24379</v>
      </c>
      <c r="AK14" s="11">
        <v>23178</v>
      </c>
      <c r="AL14" s="11">
        <v>10756</v>
      </c>
      <c r="AM14" s="11">
        <v>5974</v>
      </c>
      <c r="AN14" s="11">
        <v>9689</v>
      </c>
      <c r="AO14" s="1">
        <v>462</v>
      </c>
      <c r="AP14" s="12">
        <v>4.8000000000000001E-2</v>
      </c>
    </row>
    <row r="15" spans="1:42" ht="16" x14ac:dyDescent="0.2">
      <c r="A15" s="10" t="s">
        <v>72</v>
      </c>
      <c r="B15" s="11">
        <v>9964</v>
      </c>
      <c r="C15" s="11">
        <v>26886</v>
      </c>
      <c r="D15" s="11">
        <v>267889898</v>
      </c>
      <c r="E15" s="11">
        <v>0.93799999999999994</v>
      </c>
      <c r="F15" s="12">
        <v>0.22900000000000001</v>
      </c>
      <c r="G15" s="12">
        <v>0.94699999999999995</v>
      </c>
      <c r="H15" s="12">
        <v>0.92600000000000005</v>
      </c>
      <c r="I15" s="12">
        <v>0.94499999999999995</v>
      </c>
      <c r="J15" s="12">
        <v>0.95099999999999996</v>
      </c>
      <c r="K15" s="13">
        <v>0.68500000000000005</v>
      </c>
      <c r="L15" s="13">
        <v>0.26600000000000001</v>
      </c>
      <c r="M15" s="12">
        <v>0.72299999999999998</v>
      </c>
      <c r="N15" s="12">
        <v>0.47699999999999998</v>
      </c>
      <c r="O15" s="12">
        <v>0.245</v>
      </c>
      <c r="P15" s="12">
        <v>0.107</v>
      </c>
      <c r="Q15" s="12">
        <v>8.1000000000000003E-2</v>
      </c>
      <c r="R15" s="12">
        <v>2.5999999999999999E-2</v>
      </c>
      <c r="S15" s="11">
        <v>0.124</v>
      </c>
      <c r="T15" s="20">
        <v>8.2000000000000003E-2</v>
      </c>
      <c r="U15" s="12">
        <v>4.1000000000000002E-2</v>
      </c>
      <c r="V15" s="12">
        <v>0.49099999999999999</v>
      </c>
      <c r="W15" s="12">
        <v>0.314</v>
      </c>
      <c r="X15" s="12">
        <v>0.17799999999999999</v>
      </c>
      <c r="Y15" s="12">
        <v>0.58399999999999996</v>
      </c>
      <c r="Z15" s="12">
        <v>0.377</v>
      </c>
      <c r="AA15" s="12">
        <v>0.20699999999999999</v>
      </c>
      <c r="AB15" s="12">
        <v>2.8000000000000001E-2</v>
      </c>
      <c r="AC15" s="19">
        <v>3017</v>
      </c>
      <c r="AD15" s="19">
        <v>7022</v>
      </c>
      <c r="AE15" s="12">
        <v>0.73799999999999999</v>
      </c>
      <c r="AF15" s="12">
        <v>0.64900000000000002</v>
      </c>
      <c r="AG15" s="12">
        <v>0.83</v>
      </c>
      <c r="AH15" s="11">
        <v>4148</v>
      </c>
      <c r="AI15" s="11">
        <v>1313</v>
      </c>
      <c r="AJ15" s="11">
        <v>29249</v>
      </c>
      <c r="AK15" s="11">
        <v>22742</v>
      </c>
      <c r="AL15" s="11">
        <v>12458</v>
      </c>
      <c r="AM15" s="11">
        <v>3296</v>
      </c>
      <c r="AN15" s="11">
        <v>9964</v>
      </c>
      <c r="AO15" s="1">
        <v>805</v>
      </c>
      <c r="AP15" s="12">
        <v>8.1000000000000003E-2</v>
      </c>
    </row>
    <row r="16" spans="1:42" ht="16" x14ac:dyDescent="0.2">
      <c r="A16" s="10" t="s">
        <v>73</v>
      </c>
      <c r="B16" s="11">
        <v>9148</v>
      </c>
      <c r="C16" s="11">
        <v>38908</v>
      </c>
      <c r="D16" s="11">
        <v>355927098</v>
      </c>
      <c r="E16" s="12">
        <v>0.94799999999999995</v>
      </c>
      <c r="F16" s="12">
        <v>0.39800000000000002</v>
      </c>
      <c r="G16" s="12">
        <v>0.94699999999999995</v>
      </c>
      <c r="H16" s="12">
        <v>0.93400000000000005</v>
      </c>
      <c r="I16" s="12">
        <v>0.94599999999999995</v>
      </c>
      <c r="J16" s="12">
        <v>0.94699999999999995</v>
      </c>
      <c r="K16" s="13">
        <v>0.41599999999999998</v>
      </c>
      <c r="L16" s="13">
        <v>0.53100000000000003</v>
      </c>
      <c r="M16" s="12">
        <v>0.73699999999999999</v>
      </c>
      <c r="N16" s="12">
        <v>0.23499999999999999</v>
      </c>
      <c r="O16" s="12">
        <v>0.502</v>
      </c>
      <c r="P16" s="12">
        <v>0.12</v>
      </c>
      <c r="Q16" s="12">
        <v>5.8000000000000003E-2</v>
      </c>
      <c r="R16" s="12">
        <v>6.2E-2</v>
      </c>
      <c r="S16" s="12">
        <v>0.13200000000000001</v>
      </c>
      <c r="T16" s="20">
        <v>3.4000000000000002E-2</v>
      </c>
      <c r="U16" s="12">
        <v>9.8000000000000004E-2</v>
      </c>
      <c r="V16" s="12">
        <v>0.48599999999999999</v>
      </c>
      <c r="W16" s="12">
        <v>0.14299999999999999</v>
      </c>
      <c r="X16" s="12">
        <v>0.34200000000000003</v>
      </c>
      <c r="Y16" s="12">
        <v>0.58099999999999996</v>
      </c>
      <c r="Z16" s="12">
        <v>0.16800000000000001</v>
      </c>
      <c r="AA16" s="12">
        <v>0.41299999999999998</v>
      </c>
      <c r="AB16" s="12">
        <v>3.4000000000000002E-2</v>
      </c>
      <c r="AC16" s="19">
        <v>1017</v>
      </c>
      <c r="AD16" s="19">
        <v>8144</v>
      </c>
      <c r="AE16" s="12">
        <v>0.88</v>
      </c>
      <c r="AF16" s="12">
        <v>0.746</v>
      </c>
      <c r="AG16" s="12">
        <v>0.91900000000000004</v>
      </c>
      <c r="AH16" s="24">
        <v>889</v>
      </c>
      <c r="AI16" s="11">
        <v>2200</v>
      </c>
      <c r="AJ16" s="11">
        <v>28313</v>
      </c>
      <c r="AK16" s="11">
        <v>23846</v>
      </c>
      <c r="AL16" s="11">
        <v>2221</v>
      </c>
      <c r="AM16" s="11">
        <v>8244</v>
      </c>
      <c r="AN16" s="11">
        <v>9148</v>
      </c>
      <c r="AO16" s="1">
        <v>521</v>
      </c>
      <c r="AP16" s="12">
        <v>5.7000000000000002E-2</v>
      </c>
    </row>
    <row r="17" spans="1:42" ht="16" x14ac:dyDescent="0.2">
      <c r="A17" s="10" t="s">
        <v>74</v>
      </c>
      <c r="B17" s="11">
        <v>10510</v>
      </c>
      <c r="C17" s="11">
        <v>36689</v>
      </c>
      <c r="D17" s="11">
        <v>385604583</v>
      </c>
      <c r="E17" s="11">
        <v>0.95</v>
      </c>
      <c r="F17" s="12">
        <v>0.44</v>
      </c>
      <c r="G17" s="12">
        <v>0.94799999999999995</v>
      </c>
      <c r="H17" s="12">
        <v>0.93500000000000005</v>
      </c>
      <c r="I17" s="12">
        <v>0.94599999999999995</v>
      </c>
      <c r="J17" s="12">
        <v>0.94399999999999995</v>
      </c>
      <c r="K17" s="13">
        <v>0.38900000000000001</v>
      </c>
      <c r="L17" s="13">
        <v>0.55500000000000005</v>
      </c>
      <c r="M17" s="12">
        <v>0.73699999999999999</v>
      </c>
      <c r="N17" s="12">
        <v>0.21299999999999999</v>
      </c>
      <c r="O17" s="12">
        <v>0.52300000000000002</v>
      </c>
      <c r="P17" s="12">
        <v>0.111</v>
      </c>
      <c r="Q17" s="12">
        <v>4.2999999999999997E-2</v>
      </c>
      <c r="R17" s="12">
        <v>6.8000000000000005E-2</v>
      </c>
      <c r="S17" s="11">
        <v>0.14399999999999999</v>
      </c>
      <c r="T17" s="20">
        <v>3.5000000000000003E-2</v>
      </c>
      <c r="U17" s="12">
        <v>0.11</v>
      </c>
      <c r="V17" s="12">
        <v>0.48099999999999998</v>
      </c>
      <c r="W17" s="12">
        <v>0.13500000000000001</v>
      </c>
      <c r="X17" s="12">
        <v>0.34599999999999997</v>
      </c>
      <c r="Y17" s="12">
        <v>0.58399999999999996</v>
      </c>
      <c r="Z17" s="12">
        <v>0.161</v>
      </c>
      <c r="AA17" s="12">
        <v>0.42399999999999999</v>
      </c>
      <c r="AB17" s="12">
        <v>3.9E-2</v>
      </c>
      <c r="AC17" s="18">
        <v>880</v>
      </c>
      <c r="AD17" s="19">
        <v>9657</v>
      </c>
      <c r="AE17" s="12">
        <v>0.88400000000000001</v>
      </c>
      <c r="AF17" s="12">
        <v>0.77100000000000002</v>
      </c>
      <c r="AG17" s="12">
        <v>0.91300000000000003</v>
      </c>
      <c r="AH17" s="11">
        <v>3064</v>
      </c>
      <c r="AI17" s="11">
        <v>1957</v>
      </c>
      <c r="AJ17" s="11">
        <v>28446</v>
      </c>
      <c r="AK17" s="11">
        <v>24280</v>
      </c>
      <c r="AL17" s="11">
        <v>8862</v>
      </c>
      <c r="AM17" s="11">
        <v>6809</v>
      </c>
      <c r="AN17" s="11">
        <v>10510</v>
      </c>
      <c r="AO17" s="1">
        <v>628</v>
      </c>
      <c r="AP17" s="12">
        <v>0.06</v>
      </c>
    </row>
    <row r="18" spans="1:42" x14ac:dyDescent="0.2">
      <c r="A18" s="4" t="s">
        <v>75</v>
      </c>
      <c r="B18" s="11">
        <v>10931</v>
      </c>
      <c r="C18" s="11">
        <v>65910</v>
      </c>
      <c r="D18" s="11">
        <v>720459716</v>
      </c>
      <c r="E18" s="11">
        <v>0.93899999999999995</v>
      </c>
      <c r="F18" s="12">
        <v>0.52400000000000002</v>
      </c>
      <c r="G18" s="12">
        <v>0.94599999999999995</v>
      </c>
      <c r="H18" s="12">
        <v>0.93200000000000005</v>
      </c>
      <c r="I18" s="12">
        <v>0.94399999999999995</v>
      </c>
      <c r="J18" s="12">
        <v>0.92100000000000004</v>
      </c>
      <c r="K18" s="13">
        <v>0.35099999999999998</v>
      </c>
      <c r="L18" s="13">
        <v>0.56999999999999995</v>
      </c>
      <c r="M18" s="12">
        <v>0.73199999999999998</v>
      </c>
      <c r="N18" s="12">
        <v>0.19600000000000001</v>
      </c>
      <c r="O18" s="12">
        <v>0.53600000000000003</v>
      </c>
      <c r="P18" s="12">
        <v>0.108</v>
      </c>
      <c r="Q18" s="12">
        <v>5.3999999999999999E-2</v>
      </c>
      <c r="R18" s="12">
        <v>5.3999999999999999E-2</v>
      </c>
      <c r="S18" s="11">
        <v>0.14899999999999999</v>
      </c>
      <c r="T18" s="20">
        <v>3.2000000000000001E-2</v>
      </c>
      <c r="U18" s="12">
        <v>0.11700000000000001</v>
      </c>
      <c r="V18" s="12">
        <v>0.47399999999999998</v>
      </c>
      <c r="W18" s="12">
        <v>0.109</v>
      </c>
      <c r="X18" s="12">
        <v>0.36499999999999999</v>
      </c>
      <c r="Y18" s="12">
        <v>0.58199999999999996</v>
      </c>
      <c r="Z18" s="12">
        <v>0.13400000000000001</v>
      </c>
      <c r="AA18" s="12">
        <v>0.44800000000000001</v>
      </c>
      <c r="AB18" s="12">
        <v>0.04</v>
      </c>
      <c r="AC18" s="19">
        <v>1584</v>
      </c>
      <c r="AD18" s="19">
        <v>9363</v>
      </c>
      <c r="AE18" s="12">
        <v>0.78900000000000003</v>
      </c>
      <c r="AF18" s="12">
        <v>0.69199999999999995</v>
      </c>
      <c r="AG18" s="12">
        <v>0.80200000000000005</v>
      </c>
      <c r="AH18" s="24">
        <v>616</v>
      </c>
      <c r="AI18" s="11">
        <v>2524</v>
      </c>
      <c r="AJ18" s="11">
        <v>29389</v>
      </c>
      <c r="AK18" s="11">
        <v>26253</v>
      </c>
      <c r="AL18" s="1">
        <v>966</v>
      </c>
      <c r="AM18" s="11">
        <v>8662</v>
      </c>
      <c r="AN18" s="11">
        <v>10931</v>
      </c>
      <c r="AO18" s="11">
        <v>1557</v>
      </c>
      <c r="AP18" s="12">
        <v>0.14199999999999999</v>
      </c>
    </row>
    <row r="19" spans="1:42" x14ac:dyDescent="0.2">
      <c r="A19" s="4" t="s">
        <v>76</v>
      </c>
      <c r="B19" s="11">
        <v>10257</v>
      </c>
      <c r="C19" s="11">
        <v>59676</v>
      </c>
      <c r="D19" s="11">
        <v>612101718</v>
      </c>
      <c r="E19" s="12">
        <v>0.94499999999999995</v>
      </c>
      <c r="F19" s="12">
        <v>0.50900000000000001</v>
      </c>
      <c r="G19" s="12">
        <v>0.94799999999999995</v>
      </c>
      <c r="H19" s="12">
        <v>0.93500000000000005</v>
      </c>
      <c r="I19" s="12">
        <v>0.94599999999999995</v>
      </c>
      <c r="J19" s="12">
        <v>0.92500000000000004</v>
      </c>
      <c r="K19" s="13">
        <v>0.54400000000000004</v>
      </c>
      <c r="L19" s="13">
        <v>0.38100000000000001</v>
      </c>
      <c r="M19" s="12">
        <v>0.70399999999999996</v>
      </c>
      <c r="N19" s="12">
        <v>0.35099999999999998</v>
      </c>
      <c r="O19" s="12">
        <v>0.35299999999999998</v>
      </c>
      <c r="P19" s="12">
        <v>0.217</v>
      </c>
      <c r="Q19" s="12">
        <v>0.17399999999999999</v>
      </c>
      <c r="R19" s="12">
        <v>4.2999999999999997E-2</v>
      </c>
      <c r="S19" s="12">
        <v>0.126</v>
      </c>
      <c r="T19" s="12">
        <v>3.7999999999999999E-2</v>
      </c>
      <c r="U19" s="12">
        <v>8.7999999999999995E-2</v>
      </c>
      <c r="V19" s="12">
        <v>0.36</v>
      </c>
      <c r="W19" s="12">
        <v>0.13800000000000001</v>
      </c>
      <c r="X19" s="12">
        <v>0.222</v>
      </c>
      <c r="Y19" s="12">
        <v>0.44900000000000001</v>
      </c>
      <c r="Z19" s="12">
        <v>0.16700000000000001</v>
      </c>
      <c r="AA19" s="12">
        <v>0.28299999999999997</v>
      </c>
      <c r="AB19" s="12">
        <v>3.5000000000000003E-2</v>
      </c>
      <c r="AC19" s="19">
        <v>1672</v>
      </c>
      <c r="AD19" s="19">
        <v>8608</v>
      </c>
      <c r="AE19" s="12">
        <v>0.73799999999999999</v>
      </c>
      <c r="AF19" s="12">
        <v>0.59199999999999997</v>
      </c>
      <c r="AG19" s="12">
        <v>0.79300000000000004</v>
      </c>
      <c r="AH19" s="24">
        <v>826</v>
      </c>
      <c r="AI19" s="11">
        <v>1995</v>
      </c>
      <c r="AJ19" s="11">
        <v>29471</v>
      </c>
      <c r="AK19" s="11">
        <v>25114</v>
      </c>
      <c r="AL19" s="11">
        <v>1814</v>
      </c>
      <c r="AM19" s="11">
        <v>5848</v>
      </c>
      <c r="AN19" s="11">
        <v>10257</v>
      </c>
      <c r="AO19" s="11">
        <v>2938</v>
      </c>
      <c r="AP19" s="12">
        <v>0.28599999999999998</v>
      </c>
    </row>
    <row r="20" spans="1:42" x14ac:dyDescent="0.2">
      <c r="A20" s="4" t="s">
        <v>77</v>
      </c>
      <c r="B20" s="11">
        <v>9611</v>
      </c>
      <c r="C20" s="11">
        <v>74620</v>
      </c>
      <c r="D20" s="11">
        <v>717170394</v>
      </c>
      <c r="E20" s="12">
        <v>0.94499999999999995</v>
      </c>
      <c r="F20" s="12">
        <v>0.54600000000000004</v>
      </c>
      <c r="G20" s="12">
        <v>0.94599999999999995</v>
      </c>
      <c r="H20" s="12">
        <v>0.93400000000000005</v>
      </c>
      <c r="I20" s="12">
        <v>0.94399999999999995</v>
      </c>
      <c r="J20" s="12">
        <v>0.92800000000000005</v>
      </c>
      <c r="K20" s="13">
        <v>0.52500000000000002</v>
      </c>
      <c r="L20" s="13">
        <v>0.40400000000000003</v>
      </c>
      <c r="M20" s="12">
        <v>0.748</v>
      </c>
      <c r="N20" s="12">
        <v>0.371</v>
      </c>
      <c r="O20" s="12">
        <v>0.377</v>
      </c>
      <c r="P20" s="12">
        <v>0.21199999999999999</v>
      </c>
      <c r="Q20" s="12">
        <v>0.16800000000000001</v>
      </c>
      <c r="R20" s="12">
        <v>4.3999999999999997E-2</v>
      </c>
      <c r="S20" s="12">
        <v>0.14099999999999999</v>
      </c>
      <c r="T20" s="12">
        <v>4.3999999999999997E-2</v>
      </c>
      <c r="U20" s="12">
        <v>9.8000000000000004E-2</v>
      </c>
      <c r="V20" s="12">
        <v>0.39500000000000002</v>
      </c>
      <c r="W20" s="12">
        <v>0.16</v>
      </c>
      <c r="X20" s="12">
        <v>0.23499999999999999</v>
      </c>
      <c r="Y20" s="12">
        <v>0.497</v>
      </c>
      <c r="Z20" s="12">
        <v>0.192</v>
      </c>
      <c r="AA20" s="12">
        <v>0.30399999999999999</v>
      </c>
      <c r="AB20" s="12">
        <v>3.6999999999999998E-2</v>
      </c>
      <c r="AC20" s="19">
        <v>1278</v>
      </c>
      <c r="AD20" s="19">
        <v>8358</v>
      </c>
      <c r="AE20" s="12">
        <v>0.83899999999999997</v>
      </c>
      <c r="AF20" s="12">
        <v>0.72399999999999998</v>
      </c>
      <c r="AG20" s="12">
        <v>0.89</v>
      </c>
      <c r="AH20" s="11">
        <v>1384</v>
      </c>
      <c r="AI20" s="11">
        <v>2360</v>
      </c>
      <c r="AJ20" s="11">
        <v>30253</v>
      </c>
      <c r="AK20" s="11">
        <v>25332</v>
      </c>
      <c r="AL20" s="11">
        <v>5031</v>
      </c>
      <c r="AM20" s="11">
        <v>8096</v>
      </c>
      <c r="AN20" s="11">
        <v>9611</v>
      </c>
      <c r="AO20" s="11">
        <v>2123</v>
      </c>
      <c r="AP20" s="12">
        <v>0.221</v>
      </c>
    </row>
    <row r="21" spans="1:42" x14ac:dyDescent="0.2">
      <c r="A21" s="4" t="s">
        <v>78</v>
      </c>
      <c r="B21" s="11">
        <v>9642</v>
      </c>
      <c r="C21" s="11">
        <v>56042</v>
      </c>
      <c r="D21" s="11">
        <v>540356126</v>
      </c>
      <c r="E21" s="12">
        <v>0.93400000000000005</v>
      </c>
      <c r="F21" s="12">
        <v>0.34799999999999998</v>
      </c>
      <c r="G21" s="12">
        <v>0.94699999999999995</v>
      </c>
      <c r="H21" s="12">
        <v>0.93500000000000005</v>
      </c>
      <c r="I21" s="12">
        <v>0.94499999999999995</v>
      </c>
      <c r="J21" s="12">
        <v>0.92700000000000005</v>
      </c>
      <c r="K21" s="13">
        <v>0.65</v>
      </c>
      <c r="L21" s="13">
        <v>0.27800000000000002</v>
      </c>
      <c r="M21" s="12">
        <v>0.71899999999999997</v>
      </c>
      <c r="N21" s="12">
        <v>0.46600000000000003</v>
      </c>
      <c r="O21" s="12">
        <v>0.253</v>
      </c>
      <c r="P21" s="12">
        <v>0.193</v>
      </c>
      <c r="Q21" s="12">
        <v>0.161</v>
      </c>
      <c r="R21" s="12">
        <v>3.2000000000000001E-2</v>
      </c>
      <c r="S21" s="12">
        <v>0.13800000000000001</v>
      </c>
      <c r="T21" s="12">
        <v>7.4999999999999997E-2</v>
      </c>
      <c r="U21" s="12">
        <v>6.3E-2</v>
      </c>
      <c r="V21" s="12">
        <v>0.38800000000000001</v>
      </c>
      <c r="W21" s="12">
        <v>0.23</v>
      </c>
      <c r="X21" s="12">
        <v>0.159</v>
      </c>
      <c r="Y21" s="12">
        <v>0.48599999999999999</v>
      </c>
      <c r="Z21" s="12">
        <v>0.28499999999999998</v>
      </c>
      <c r="AA21" s="12">
        <v>0.20100000000000001</v>
      </c>
      <c r="AB21" s="12">
        <v>3.7999999999999999E-2</v>
      </c>
      <c r="AC21" s="19">
        <v>2621</v>
      </c>
      <c r="AD21" s="19">
        <v>7058</v>
      </c>
      <c r="AE21" s="12">
        <v>0.78200000000000003</v>
      </c>
      <c r="AF21" s="12">
        <v>0.73899999999999999</v>
      </c>
      <c r="AG21" s="12">
        <v>0.79200000000000004</v>
      </c>
      <c r="AH21" s="11">
        <v>4682</v>
      </c>
      <c r="AI21" s="11">
        <v>2028</v>
      </c>
      <c r="AJ21" s="11">
        <v>32092</v>
      </c>
      <c r="AK21" s="11">
        <v>25689</v>
      </c>
      <c r="AL21" s="11">
        <v>15628</v>
      </c>
      <c r="AM21" s="11">
        <v>5280</v>
      </c>
      <c r="AN21" s="11">
        <v>9642</v>
      </c>
      <c r="AO21" s="11">
        <v>1507</v>
      </c>
      <c r="AP21" s="12">
        <v>0.156</v>
      </c>
    </row>
  </sheetData>
  <conditionalFormatting sqref="AP1:AP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:AP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4:AP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1731-E135-3448-8B28-4AD51004FCDD}">
  <dimension ref="A1:C9"/>
  <sheetViews>
    <sheetView workbookViewId="0">
      <selection activeCell="C1" sqref="C1"/>
    </sheetView>
  </sheetViews>
  <sheetFormatPr baseColWidth="10" defaultRowHeight="15" x14ac:dyDescent="0.2"/>
  <sheetData>
    <row r="1" spans="1:3" x14ac:dyDescent="0.2">
      <c r="A1" t="s">
        <v>98</v>
      </c>
      <c r="B1" t="s">
        <v>99</v>
      </c>
      <c r="C1" t="s">
        <v>100</v>
      </c>
    </row>
    <row r="2" spans="1:3" x14ac:dyDescent="0.2">
      <c r="A2" t="s">
        <v>40</v>
      </c>
      <c r="B2">
        <v>722</v>
      </c>
      <c r="C2">
        <v>557</v>
      </c>
    </row>
    <row r="3" spans="1:3" x14ac:dyDescent="0.2">
      <c r="A3" t="s">
        <v>39</v>
      </c>
      <c r="B3">
        <v>797</v>
      </c>
      <c r="C3">
        <v>446</v>
      </c>
    </row>
    <row r="4" spans="1:3" x14ac:dyDescent="0.2">
      <c r="A4" t="s">
        <v>37</v>
      </c>
      <c r="B4">
        <v>376</v>
      </c>
      <c r="C4">
        <v>279</v>
      </c>
    </row>
    <row r="5" spans="1:3" x14ac:dyDescent="0.2">
      <c r="A5" t="s">
        <v>38</v>
      </c>
      <c r="B5">
        <v>2471</v>
      </c>
      <c r="C5">
        <v>2280</v>
      </c>
    </row>
    <row r="6" spans="1:3" x14ac:dyDescent="0.2">
      <c r="A6" t="s">
        <v>41</v>
      </c>
      <c r="B6">
        <v>459</v>
      </c>
      <c r="C6">
        <v>348</v>
      </c>
    </row>
    <row r="7" spans="1:3" x14ac:dyDescent="0.2">
      <c r="A7" t="s">
        <v>42</v>
      </c>
      <c r="B7">
        <v>993</v>
      </c>
      <c r="C7">
        <v>754</v>
      </c>
    </row>
    <row r="8" spans="1:3" x14ac:dyDescent="0.2">
      <c r="A8" t="s">
        <v>43</v>
      </c>
      <c r="B8">
        <v>1097</v>
      </c>
      <c r="C8">
        <v>728</v>
      </c>
    </row>
    <row r="9" spans="1:3" x14ac:dyDescent="0.2">
      <c r="A9" t="s">
        <v>44</v>
      </c>
      <c r="B9">
        <v>2291</v>
      </c>
      <c r="C9">
        <v>1975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37FD-9725-F44C-9BFB-4368CBCED020}">
  <dimension ref="A1:C13"/>
  <sheetViews>
    <sheetView tabSelected="1" workbookViewId="0">
      <selection activeCell="F24" sqref="F24"/>
    </sheetView>
  </sheetViews>
  <sheetFormatPr baseColWidth="10" defaultRowHeight="15" x14ac:dyDescent="0.2"/>
  <sheetData>
    <row r="1" spans="1:3" x14ac:dyDescent="0.2">
      <c r="A1" t="s">
        <v>98</v>
      </c>
      <c r="B1" t="s">
        <v>99</v>
      </c>
      <c r="C1" t="s">
        <v>100</v>
      </c>
    </row>
    <row r="2" spans="1:3" x14ac:dyDescent="0.2">
      <c r="A2" t="s">
        <v>96</v>
      </c>
      <c r="B2">
        <v>23114</v>
      </c>
      <c r="C2">
        <v>17482</v>
      </c>
    </row>
    <row r="3" spans="1:3" x14ac:dyDescent="0.2">
      <c r="A3" t="s">
        <v>94</v>
      </c>
      <c r="B3">
        <v>1289</v>
      </c>
      <c r="C3">
        <v>939</v>
      </c>
    </row>
    <row r="4" spans="1:3" x14ac:dyDescent="0.2">
      <c r="A4" t="s">
        <v>93</v>
      </c>
      <c r="B4">
        <v>1100</v>
      </c>
      <c r="C4">
        <v>352</v>
      </c>
    </row>
    <row r="5" spans="1:3" x14ac:dyDescent="0.2">
      <c r="A5" t="s">
        <v>91</v>
      </c>
      <c r="B5">
        <v>2572</v>
      </c>
      <c r="C5">
        <v>2262</v>
      </c>
    </row>
    <row r="6" spans="1:3" x14ac:dyDescent="0.2">
      <c r="A6" t="s">
        <v>90</v>
      </c>
      <c r="B6">
        <v>450</v>
      </c>
      <c r="C6">
        <v>347</v>
      </c>
    </row>
    <row r="7" spans="1:3" x14ac:dyDescent="0.2">
      <c r="A7" t="s">
        <v>97</v>
      </c>
      <c r="B7">
        <v>23130</v>
      </c>
      <c r="C7">
        <v>13674</v>
      </c>
    </row>
    <row r="8" spans="1:3" x14ac:dyDescent="0.2">
      <c r="A8" t="s">
        <v>86</v>
      </c>
      <c r="B8">
        <v>686</v>
      </c>
      <c r="C8">
        <v>472</v>
      </c>
    </row>
    <row r="9" spans="1:3" x14ac:dyDescent="0.2">
      <c r="A9" t="s">
        <v>87</v>
      </c>
      <c r="B9">
        <v>624</v>
      </c>
      <c r="C9">
        <v>384</v>
      </c>
    </row>
    <row r="10" spans="1:3" x14ac:dyDescent="0.2">
      <c r="A10" t="s">
        <v>88</v>
      </c>
      <c r="B10">
        <v>363</v>
      </c>
      <c r="C10">
        <v>256</v>
      </c>
    </row>
    <row r="11" spans="1:3" x14ac:dyDescent="0.2">
      <c r="A11" t="s">
        <v>89</v>
      </c>
      <c r="B11">
        <v>1127</v>
      </c>
      <c r="C11">
        <v>893</v>
      </c>
    </row>
    <row r="12" spans="1:3" x14ac:dyDescent="0.2">
      <c r="A12" t="s">
        <v>95</v>
      </c>
      <c r="B12">
        <v>385</v>
      </c>
      <c r="C12">
        <v>0</v>
      </c>
    </row>
    <row r="13" spans="1:3" x14ac:dyDescent="0.2">
      <c r="A13" t="s">
        <v>92</v>
      </c>
      <c r="B13">
        <v>92</v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batch1</vt:lpstr>
      <vt:lpstr>batch2</vt:lpstr>
      <vt:lpstr>4R</vt:lpstr>
      <vt:lpstr>postQC_2N</vt:lpstr>
      <vt:lpstr>postQC_4N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Chaomei</dc:creator>
  <cp:lastModifiedBy>Andor, Noemi</cp:lastModifiedBy>
  <dcterms:created xsi:type="dcterms:W3CDTF">2024-11-05T21:41:50Z</dcterms:created>
  <dcterms:modified xsi:type="dcterms:W3CDTF">2025-01-08T17:01:40Z</dcterms:modified>
</cp:coreProperties>
</file>